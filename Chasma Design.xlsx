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7"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Building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s>
  <definedNames/>
  <calcPr calcId="191029" fullCalcOnLoad="1"/>
</workbook>
</file>

<file path=xl/styles.xml><?xml version="1.0" encoding="utf-8"?>
<styleSheet xmlns="http://schemas.openxmlformats.org/spreadsheetml/2006/main">
  <numFmts count="0"/>
  <fonts count="13">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2">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0" applyAlignment="1" pivotButton="0" quotePrefix="0" xfId="0">
      <alignment horizontal="center"/>
    </xf>
    <xf numFmtId="0" fontId="3" fillId="8" borderId="4" applyAlignment="1" pivotButton="0" quotePrefix="0" xfId="0">
      <alignment horizontal="center"/>
    </xf>
    <xf numFmtId="0" fontId="3"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10" borderId="0" pivotButton="0" quotePrefix="0" xfId="0"/>
    <xf numFmtId="0" fontId="2" fillId="11" borderId="0" pivotButton="0" quotePrefix="0" xfId="0"/>
    <xf numFmtId="0" fontId="2" fillId="12" borderId="0" pivotButton="0" quotePrefix="0" xfId="0"/>
    <xf numFmtId="0" fontId="3" fillId="12" borderId="0" pivotButton="0" quotePrefix="0" xfId="0"/>
    <xf numFmtId="0" fontId="3" fillId="13" borderId="6" pivotButton="0" quotePrefix="0" xfId="0"/>
    <xf numFmtId="0" fontId="3" fillId="13" borderId="0" pivotButton="0" quotePrefix="0" xfId="0"/>
    <xf numFmtId="0" fontId="2" fillId="14" borderId="0" pivotButton="0" quotePrefix="0" xfId="0"/>
    <xf numFmtId="0" fontId="3" fillId="14" borderId="0" pivotButton="0" quotePrefix="0" xfId="0"/>
    <xf numFmtId="0" fontId="1" fillId="15" borderId="0" pivotButton="0" quotePrefix="0" xfId="0"/>
    <xf numFmtId="0" fontId="1" fillId="15" borderId="1" pivotButton="0" quotePrefix="0" xfId="0"/>
    <xf numFmtId="0" fontId="3" fillId="14" borderId="5" pivotButton="0" quotePrefix="0" xfId="0"/>
    <xf numFmtId="0" fontId="3" fillId="16"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7" borderId="0" applyAlignment="1" pivotButton="0" quotePrefix="0" xfId="0">
      <alignment horizontal="center"/>
    </xf>
    <xf numFmtId="0" fontId="12" fillId="19" borderId="0" pivotButton="0" quotePrefix="0" xfId="0"/>
    <xf numFmtId="0" fontId="11" fillId="18"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S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8" customWidth="1" style="40" min="1" max="1"/>
    <col width="22" customWidth="1" style="40" min="2" max="3"/>
    <col width="48" customWidth="1" style="40" min="4" max="4"/>
  </cols>
  <sheetData>
    <row r="1" ht="15.75" customHeight="1" s="40">
      <c r="A1" s="37" t="inlineStr">
        <is>
          <t>Column</t>
        </is>
      </c>
      <c r="B1" s="37" t="inlineStr">
        <is>
          <t>Import</t>
        </is>
      </c>
      <c r="C1" s="37" t="inlineStr">
        <is>
          <t>Runtime use</t>
        </is>
      </c>
      <c r="D1" s="37"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9"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0" min="1" max="1"/>
    <col width="45.140625" bestFit="1" customWidth="1" style="40" min="2" max="2"/>
    <col width="10.7109375" bestFit="1" customWidth="1" style="40" min="3" max="3"/>
    <col width="10.85546875" bestFit="1" customWidth="1" style="40" min="4" max="4"/>
    <col width="12.28515625" bestFit="1" customWidth="1" style="40" min="5" max="5"/>
    <col width="10.28515625" bestFit="1" customWidth="1" style="40" min="6" max="6"/>
    <col width="33.28515625" bestFit="1" customWidth="1" style="40"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0" min="1" max="1"/>
    <col width="19" customWidth="1" style="40" min="2" max="2"/>
    <col width="38.140625" customWidth="1" style="40"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9" ht="18.75" customHeight="1" s="40">
      <c r="A9" s="41" t="n"/>
    </row>
    <row r="10">
      <c r="A10" s="16" t="n"/>
      <c r="B10" s="16" t="n"/>
      <c r="C10" s="16" t="n"/>
    </row>
    <row r="17">
      <c r="A17" s="12" t="n"/>
      <c r="B17" s="12" t="n"/>
      <c r="C17" s="12" t="n"/>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33"/>
  <sheetViews>
    <sheetView workbookViewId="0">
      <pane ySplit="1" topLeftCell="A2" activePane="bottomLeft" state="frozen"/>
      <selection activeCell="C28" sqref="C28"/>
      <selection pane="bottomLeft" activeCell="D10" sqref="D10"/>
    </sheetView>
  </sheetViews>
  <sheetFormatPr baseColWidth="8" defaultRowHeight="15"/>
  <cols>
    <col width="7.140625" bestFit="1" customWidth="1" style="40" min="1" max="1"/>
    <col width="14.42578125" customWidth="1" style="40" min="2" max="2"/>
    <col width="7.5703125" bestFit="1" customWidth="1" style="40" min="3" max="3"/>
    <col width="24.140625" customWidth="1" style="40" min="4" max="4"/>
    <col width="5.85546875" bestFit="1" customWidth="1" style="40" min="5" max="5"/>
    <col width="8.28515625" bestFit="1" customWidth="1" style="40" min="6" max="6"/>
    <col width="8.7109375" bestFit="1" customWidth="1" style="40" min="7" max="7"/>
    <col width="9.42578125" bestFit="1" customWidth="1" style="40" min="8" max="8"/>
    <col width="12.42578125" bestFit="1" customWidth="1" style="40" min="9" max="9"/>
    <col width="6.5703125" bestFit="1" customWidth="1" style="40" min="10" max="10"/>
    <col width="9.5703125" bestFit="1" customWidth="1" style="40" min="11" max="11"/>
    <col width="11.7109375" bestFit="1" customWidth="1" style="40"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38" t="inlineStr">
        <is>
          <t>Move Speed</t>
        </is>
      </c>
      <c r="Q1" s="38" t="inlineStr">
        <is>
          <t>Collision Radius</t>
        </is>
      </c>
      <c r="R1" s="38" t="inlineStr">
        <is>
          <t>Max Slope</t>
        </is>
      </c>
      <c r="S1" s="38"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S2" t="inlineStr">
        <is>
          <t>Y</t>
        </is>
      </c>
    </row>
    <row r="3">
      <c r="O3" s="13" t="n"/>
    </row>
    <row r="4">
      <c r="O4" s="13" t="n"/>
    </row>
    <row r="5">
      <c r="O5" s="13" t="n"/>
    </row>
    <row r="6">
      <c r="O6" s="13" t="n"/>
    </row>
    <row r="7">
      <c r="O7" s="13" t="n"/>
    </row>
    <row r="8">
      <c r="O8" s="13" t="n"/>
    </row>
    <row r="9">
      <c r="O9" s="13" t="n"/>
    </row>
    <row r="10">
      <c r="O10" s="13" t="n"/>
    </row>
    <row r="11">
      <c r="O11" s="13" t="n"/>
    </row>
    <row r="12">
      <c r="O12" s="13" t="n"/>
    </row>
    <row r="13">
      <c r="O13" s="13" t="n"/>
    </row>
    <row r="14">
      <c r="O14" s="13" t="n"/>
    </row>
    <row r="15">
      <c r="O15" s="13" t="n"/>
    </row>
    <row r="16">
      <c r="O16" s="13" t="n"/>
    </row>
    <row r="17">
      <c r="O17" s="13" t="n"/>
    </row>
    <row r="18">
      <c r="O18" s="13" t="n"/>
    </row>
    <row r="19">
      <c r="O19" s="13" t="n"/>
    </row>
    <row r="20">
      <c r="O20" s="13" t="n"/>
    </row>
    <row r="21">
      <c r="O21" s="13" t="n"/>
    </row>
    <row r="22">
      <c r="O22" s="13" t="n"/>
    </row>
    <row r="23">
      <c r="O23" s="13" t="n"/>
    </row>
    <row r="24">
      <c r="O24" s="13" t="n"/>
    </row>
    <row r="25">
      <c r="O25" s="13" t="n"/>
    </row>
    <row r="26">
      <c r="A26" s="12" t="n"/>
      <c r="B26" s="12" t="n"/>
      <c r="C26" s="12" t="n"/>
      <c r="D26" s="12" t="n"/>
      <c r="E26" s="12" t="n"/>
      <c r="F26" s="12" t="n"/>
      <c r="G26" s="12" t="n"/>
      <c r="H26" s="12" t="n"/>
      <c r="I26" s="12" t="n"/>
      <c r="J26" s="12" t="n"/>
      <c r="K26" s="12" t="n"/>
      <c r="L26" s="12" t="n"/>
      <c r="M26" s="12" t="n"/>
      <c r="N26" s="12" t="n"/>
      <c r="O26" s="14" t="n"/>
    </row>
    <row r="28" ht="15.75" customHeight="1" s="40">
      <c r="A28" s="7" t="inlineStr">
        <is>
          <t>UNIT STATISTICS</t>
        </is>
      </c>
    </row>
    <row r="29">
      <c r="A29" s="6" t="inlineStr">
        <is>
          <t>Total Units:</t>
        </is>
      </c>
      <c r="B29" s="29">
        <f>COUNTA(A2:A26)</f>
        <v/>
      </c>
      <c r="E29" s="6" t="inlineStr">
        <is>
          <t>Elite Units:</t>
        </is>
      </c>
      <c r="F29" s="30">
        <f>COUNTIF(O2:O26,"Elite")</f>
        <v/>
      </c>
    </row>
    <row r="30">
      <c r="A30" s="6" t="inlineStr">
        <is>
          <t>Avg Power Rating:</t>
        </is>
      </c>
      <c r="B30" s="29">
        <f>ROUND(AVERAGE(N2:N26),1)</f>
        <v/>
      </c>
      <c r="E30" s="6" t="inlineStr">
        <is>
          <t>Veteran Units:</t>
        </is>
      </c>
      <c r="F30" s="30">
        <f>COUNTIF(O2:O26,"Veteran")</f>
        <v/>
      </c>
    </row>
    <row r="31">
      <c r="A31" s="6" t="inlineStr">
        <is>
          <t>Strongest Unit:</t>
        </is>
      </c>
      <c r="B31" s="29">
        <f>INDEX(B2:B26,MATCH(MAX(N2:N26),N2:N26,0))</f>
        <v/>
      </c>
      <c r="E31" s="6" t="inlineStr">
        <is>
          <t>Regular Units:</t>
        </is>
      </c>
      <c r="F31" s="30">
        <f>COUNTIF(O2:O26,"Regular")</f>
        <v/>
      </c>
    </row>
    <row r="32">
      <c r="A32" s="6" t="inlineStr">
        <is>
          <t>Wild Units:</t>
        </is>
      </c>
      <c r="B32" s="29">
        <f>COUNTIF(C2:C26,"Wild")</f>
        <v/>
      </c>
      <c r="E32" s="6" t="inlineStr">
        <is>
          <t>Rookie Units:</t>
        </is>
      </c>
      <c r="F32" s="30">
        <f>COUNTIF(O2:O26,"Rookie")</f>
        <v/>
      </c>
    </row>
    <row r="33">
      <c r="A33" s="6" t="inlineStr">
        <is>
          <t>Bandit Units:</t>
        </is>
      </c>
      <c r="B33" s="29">
        <f>COUNTIF(C2:C26,"Bandits")</f>
        <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40" min="2" max="2"/>
  </cols>
  <sheetData>
    <row r="1" ht="18" customHeight="1" s="40">
      <c r="A1" s="32" t="inlineStr">
        <is>
          <t>Chasma — Setting Summary</t>
        </is>
      </c>
    </row>
    <row r="3" ht="75" customHeight="1" s="40">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0">
      <c r="A4" s="31" t="inlineStr">
        <is>
          <t>Today, the wreck remains the most valuable location on the planet. Every major civilization has a different vision for its future, creating a world of uneasy alliances, trade, proxy wars, and territorial conflict.</t>
        </is>
      </c>
    </row>
    <row r="6" ht="18" customHeight="1" s="40">
      <c r="A6" s="32" t="inlineStr">
        <is>
          <t>Humans</t>
        </is>
      </c>
    </row>
    <row r="8" ht="45" customHeight="1" s="40">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40">
      <c r="A11" s="32" t="inlineStr">
        <is>
          <t>Y'aratan</t>
        </is>
      </c>
    </row>
    <row r="13" ht="60" customHeight="1" s="40">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40">
      <c r="A16" s="32" t="inlineStr">
        <is>
          <t>Gra-Gu</t>
        </is>
      </c>
    </row>
    <row r="18" ht="60" customHeight="1" s="40">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40">
      <c r="A21" s="32" t="inlineStr">
        <is>
          <t>Rhal</t>
        </is>
      </c>
    </row>
    <row r="23" ht="60" customHeight="1" s="40">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40">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40"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7109375" bestFit="1" customWidth="1" style="40" min="1" max="1"/>
    <col width="6.28515625" bestFit="1" customWidth="1" style="40" min="2" max="2"/>
    <col width="10.28515625" bestFit="1" customWidth="1" style="40" min="4" max="4"/>
    <col width="10.42578125" bestFit="1" customWidth="1" style="40" min="5" max="5"/>
    <col width="3.5703125" bestFit="1" customWidth="1" style="40" min="6" max="6"/>
    <col width="12.42578125" bestFit="1" customWidth="1" style="40" min="7" max="7"/>
    <col width="11.5703125" bestFit="1" customWidth="1" style="40" min="8" max="8"/>
  </cols>
  <sheetData>
    <row r="1">
      <c r="A1" s="8" t="inlineStr">
        <is>
          <t>Building ID</t>
        </is>
      </c>
      <c r="B1" s="8" t="inlineStr">
        <is>
          <t>Name</t>
        </is>
      </c>
      <c r="C1" s="8" t="inlineStr">
        <is>
          <t>Category</t>
        </is>
      </c>
      <c r="D1" s="8" t="inlineStr">
        <is>
          <t>Build Cost</t>
        </is>
      </c>
      <c r="E1" s="8" t="inlineStr">
        <is>
          <t>Build Time</t>
        </is>
      </c>
      <c r="F1" s="8" t="inlineStr">
        <is>
          <t>HP</t>
        </is>
      </c>
      <c r="G1" s="8" t="inlineStr">
        <is>
          <t>Power Usage</t>
        </is>
      </c>
      <c r="H1" s="8" t="inlineStr">
        <is>
          <t>Description</t>
        </is>
      </c>
      <c r="I1" s="11" t="inlineStr">
        <is>
          <t>Efficiency Score</t>
        </is>
      </c>
    </row>
    <row r="2">
      <c r="A2" t="inlineStr">
        <is>
          <t>B-0001</t>
        </is>
      </c>
      <c r="B2" t="inlineStr">
        <is>
          <t>Campfire</t>
        </is>
      </c>
      <c r="C2" t="inlineStr">
        <is>
          <t>Basic</t>
        </is>
      </c>
      <c r="D2" t="n">
        <v>5</v>
      </c>
      <c r="E2" t="n">
        <v>10</v>
      </c>
      <c r="F2" t="n">
        <v>50</v>
      </c>
      <c r="G2" t="n">
        <v>0</v>
      </c>
      <c r="H2" t="inlineStr">
        <is>
          <t>Basic light and cooking source</t>
        </is>
      </c>
      <c r="I2" s="13">
        <f>ROUND(F2/(D2+1)*10,1)</f>
        <v/>
      </c>
    </row>
    <row r="3">
      <c r="A3" t="inlineStr">
        <is>
          <t>B-0002</t>
        </is>
      </c>
      <c r="B3" t="inlineStr">
        <is>
          <t>Small Shack</t>
        </is>
      </c>
      <c r="C3" t="inlineStr">
        <is>
          <t>Shelter</t>
        </is>
      </c>
      <c r="D3" t="n">
        <v>50</v>
      </c>
      <c r="E3" t="n">
        <v>120</v>
      </c>
      <c r="F3" t="n">
        <v>200</v>
      </c>
      <c r="G3" t="n">
        <v>0</v>
      </c>
      <c r="H3" t="inlineStr">
        <is>
          <t>Basic shelter for 2 people</t>
        </is>
      </c>
      <c r="I3" s="13">
        <f>ROUND(F3/(D3+1)*10,1)</f>
        <v/>
      </c>
    </row>
    <row r="4">
      <c r="A4" t="inlineStr">
        <is>
          <t>B-0003</t>
        </is>
      </c>
      <c r="B4" t="inlineStr">
        <is>
          <t>Storage Box</t>
        </is>
      </c>
      <c r="C4" t="inlineStr">
        <is>
          <t>Storage</t>
        </is>
      </c>
      <c r="D4" t="n">
        <v>20</v>
      </c>
      <c r="E4" t="n">
        <v>30</v>
      </c>
      <c r="F4" t="n">
        <v>100</v>
      </c>
      <c r="G4" t="n">
        <v>0</v>
      </c>
      <c r="H4" t="inlineStr">
        <is>
          <t>Holds 10 item stacks</t>
        </is>
      </c>
      <c r="I4" s="13">
        <f>ROUND(F4/(D4+1)*10,1)</f>
        <v/>
      </c>
    </row>
    <row r="5">
      <c r="A5" t="inlineStr">
        <is>
          <t>B-0004</t>
        </is>
      </c>
      <c r="B5" t="inlineStr">
        <is>
          <t>Storage Shed</t>
        </is>
      </c>
      <c r="C5" t="inlineStr">
        <is>
          <t>Storage</t>
        </is>
      </c>
      <c r="D5" t="n">
        <v>100</v>
      </c>
      <c r="E5" t="n">
        <v>180</v>
      </c>
      <c r="F5" t="n">
        <v>300</v>
      </c>
      <c r="G5" t="n">
        <v>0</v>
      </c>
      <c r="H5" t="inlineStr">
        <is>
          <t>Holds 50 item stacks</t>
        </is>
      </c>
      <c r="I5" s="13">
        <f>ROUND(F5/(D5+1)*10,1)</f>
        <v/>
      </c>
    </row>
    <row r="6">
      <c r="A6" t="inlineStr">
        <is>
          <t>B-0005</t>
        </is>
      </c>
      <c r="B6" t="inlineStr">
        <is>
          <t>Research Bench</t>
        </is>
      </c>
      <c r="C6" t="inlineStr">
        <is>
          <t>Production</t>
        </is>
      </c>
      <c r="D6" t="n">
        <v>80</v>
      </c>
      <c r="E6" t="n">
        <v>90</v>
      </c>
      <c r="F6" t="n">
        <v>150</v>
      </c>
      <c r="G6" t="n">
        <v>0</v>
      </c>
      <c r="H6" t="inlineStr">
        <is>
          <t>Unlocks basic tech</t>
        </is>
      </c>
      <c r="I6" s="13">
        <f>ROUND(F6/(D6+1)*10,1)</f>
        <v/>
      </c>
    </row>
    <row r="7">
      <c r="A7" t="inlineStr">
        <is>
          <t>B-0006</t>
        </is>
      </c>
      <c r="B7" t="inlineStr">
        <is>
          <t>Anvil</t>
        </is>
      </c>
      <c r="C7" t="inlineStr">
        <is>
          <t>Production</t>
        </is>
      </c>
      <c r="D7" t="n">
        <v>60</v>
      </c>
      <c r="E7" t="n">
        <v>60</v>
      </c>
      <c r="F7" t="n">
        <v>200</v>
      </c>
      <c r="G7" t="n">
        <v>0</v>
      </c>
      <c r="H7" t="inlineStr">
        <is>
          <t>Basic metalworking</t>
        </is>
      </c>
      <c r="I7" s="13">
        <f>ROUND(F7/(D7+1)*10,1)</f>
        <v/>
      </c>
    </row>
    <row r="8">
      <c r="A8" t="inlineStr">
        <is>
          <t>B-0007</t>
        </is>
      </c>
      <c r="B8" t="inlineStr">
        <is>
          <t>Forge</t>
        </is>
      </c>
      <c r="C8" t="inlineStr">
        <is>
          <t>Production</t>
        </is>
      </c>
      <c r="D8" t="n">
        <v>200</v>
      </c>
      <c r="E8" t="n">
        <v>300</v>
      </c>
      <c r="F8" t="n">
        <v>400</v>
      </c>
      <c r="G8" t="n">
        <v>5</v>
      </c>
      <c r="H8" t="inlineStr">
        <is>
          <t>Advanced metalworking</t>
        </is>
      </c>
      <c r="I8" s="13">
        <f>ROUND(F8/(D8+1)*10,1)</f>
        <v/>
      </c>
    </row>
    <row r="9">
      <c r="A9" t="inlineStr">
        <is>
          <t>B-0008</t>
        </is>
      </c>
      <c r="B9" t="inlineStr">
        <is>
          <t>Wind Generator</t>
        </is>
      </c>
      <c r="C9" t="inlineStr">
        <is>
          <t>Power</t>
        </is>
      </c>
      <c r="D9" t="n">
        <v>150</v>
      </c>
      <c r="E9" t="n">
        <v>240</v>
      </c>
      <c r="F9" t="n">
        <v>250</v>
      </c>
      <c r="G9" t="n">
        <v>-10</v>
      </c>
      <c r="H9" t="inlineStr">
        <is>
          <t>Generates 10 power</t>
        </is>
      </c>
      <c r="I9" s="13">
        <f>ROUND(F9/(D9+1)*10,1)</f>
        <v/>
      </c>
    </row>
    <row r="10">
      <c r="A10" t="inlineStr">
        <is>
          <t>B-0009</t>
        </is>
      </c>
      <c r="B10" t="inlineStr">
        <is>
          <t>Solar Panel</t>
        </is>
      </c>
      <c r="C10" t="inlineStr">
        <is>
          <t>Power</t>
        </is>
      </c>
      <c r="D10" t="n">
        <v>300</v>
      </c>
      <c r="E10" t="n">
        <v>180</v>
      </c>
      <c r="F10" t="n">
        <v>150</v>
      </c>
      <c r="G10" t="n">
        <v>-15</v>
      </c>
      <c r="H10" t="inlineStr">
        <is>
          <t>Generates 15 power (day only)</t>
        </is>
      </c>
      <c r="I10" s="13">
        <f>ROUND(F10/(D10+1)*10,1)</f>
        <v/>
      </c>
    </row>
    <row r="11">
      <c r="A11" t="inlineStr">
        <is>
          <t>B-0010</t>
        </is>
      </c>
      <c r="B11" t="inlineStr">
        <is>
          <t>Battery Bank</t>
        </is>
      </c>
      <c r="C11" t="inlineStr">
        <is>
          <t>Power</t>
        </is>
      </c>
      <c r="D11" t="n">
        <v>250</v>
      </c>
      <c r="E11" t="n">
        <v>200</v>
      </c>
      <c r="F11" t="n">
        <v>200</v>
      </c>
      <c r="G11" t="n">
        <v>0</v>
      </c>
      <c r="H11" t="inlineStr">
        <is>
          <t>Stores 100 power units</t>
        </is>
      </c>
      <c r="I11" s="13">
        <f>ROUND(F11/(D11+1)*10,1)</f>
        <v/>
      </c>
    </row>
    <row r="12">
      <c r="A12" t="inlineStr">
        <is>
          <t>B-0011</t>
        </is>
      </c>
      <c r="B12" t="inlineStr">
        <is>
          <t>Well</t>
        </is>
      </c>
      <c r="C12" t="inlineStr">
        <is>
          <t>Resource</t>
        </is>
      </c>
      <c r="D12" t="n">
        <v>100</v>
      </c>
      <c r="E12" t="n">
        <v>300</v>
      </c>
      <c r="F12" t="n">
        <v>300</v>
      </c>
      <c r="G12" t="n">
        <v>0</v>
      </c>
      <c r="H12" t="inlineStr">
        <is>
          <t>Produces water</t>
        </is>
      </c>
      <c r="I12" s="13">
        <f>ROUND(F12/(D12+1)*10,1)</f>
        <v/>
      </c>
    </row>
    <row r="13">
      <c r="A13" t="inlineStr">
        <is>
          <t>B-0012</t>
        </is>
      </c>
      <c r="B13" t="inlineStr">
        <is>
          <t>Farm Plot</t>
        </is>
      </c>
      <c r="C13" t="inlineStr">
        <is>
          <t>Resource</t>
        </is>
      </c>
      <c r="D13" t="n">
        <v>30</v>
      </c>
      <c r="E13" t="n">
        <v>60</v>
      </c>
      <c r="F13" t="n">
        <v>50</v>
      </c>
      <c r="G13" t="n">
        <v>0</v>
      </c>
      <c r="H13" t="inlineStr">
        <is>
          <t>Grows food (requires water)</t>
        </is>
      </c>
      <c r="I13" s="13">
        <f>ROUND(F13/(D13+1)*10,1)</f>
        <v/>
      </c>
    </row>
    <row r="14">
      <c r="A14" t="inlineStr">
        <is>
          <t>B-0013</t>
        </is>
      </c>
      <c r="B14" t="inlineStr">
        <is>
          <t>Hydroponics Bay</t>
        </is>
      </c>
      <c r="C14" t="inlineStr">
        <is>
          <t>Resource</t>
        </is>
      </c>
      <c r="D14" t="n">
        <v>400</v>
      </c>
      <c r="E14" t="n">
        <v>360</v>
      </c>
      <c r="F14" t="n">
        <v>200</v>
      </c>
      <c r="G14" t="n">
        <v>8</v>
      </c>
      <c r="H14" t="inlineStr">
        <is>
          <t>Efficient indoor farming</t>
        </is>
      </c>
      <c r="I14" s="13">
        <f>ROUND(F14/(D14+1)*10,1)</f>
        <v/>
      </c>
    </row>
    <row r="15">
      <c r="A15" t="inlineStr">
        <is>
          <t>B-0014</t>
        </is>
      </c>
      <c r="B15" t="inlineStr">
        <is>
          <t>Guard Tower</t>
        </is>
      </c>
      <c r="C15" t="inlineStr">
        <is>
          <t>Defense</t>
        </is>
      </c>
      <c r="D15" t="n">
        <v>150</v>
      </c>
      <c r="E15" t="n">
        <v>240</v>
      </c>
      <c r="F15" t="n">
        <v>500</v>
      </c>
      <c r="G15" t="n">
        <v>0</v>
      </c>
      <c r="H15" t="inlineStr">
        <is>
          <t>Elevated defense position</t>
        </is>
      </c>
      <c r="I15" s="13">
        <f>ROUND(F15/(D15+1)*10,1)</f>
        <v/>
      </c>
    </row>
    <row r="16">
      <c r="A16" t="inlineStr">
        <is>
          <t>B-0015</t>
        </is>
      </c>
      <c r="B16" t="inlineStr">
        <is>
          <t>Wooden Wall</t>
        </is>
      </c>
      <c r="C16" t="inlineStr">
        <is>
          <t>Defense</t>
        </is>
      </c>
      <c r="D16" t="n">
        <v>25</v>
      </c>
      <c r="E16" t="n">
        <v>45</v>
      </c>
      <c r="F16" t="n">
        <v>300</v>
      </c>
      <c r="G16" t="n">
        <v>0</v>
      </c>
      <c r="H16" t="inlineStr">
        <is>
          <t>Basic perimeter defense</t>
        </is>
      </c>
      <c r="I16" s="13">
        <f>ROUND(F16/(D16+1)*10,1)</f>
        <v/>
      </c>
    </row>
    <row r="17">
      <c r="A17" t="inlineStr">
        <is>
          <t>B-0016</t>
        </is>
      </c>
      <c r="B17" t="inlineStr">
        <is>
          <t>Stone Wall</t>
        </is>
      </c>
      <c r="C17" t="inlineStr">
        <is>
          <t>Defense</t>
        </is>
      </c>
      <c r="D17" t="n">
        <v>80</v>
      </c>
      <c r="E17" t="n">
        <v>120</v>
      </c>
      <c r="F17" t="n">
        <v>600</v>
      </c>
      <c r="G17" t="n">
        <v>0</v>
      </c>
      <c r="H17" t="inlineStr">
        <is>
          <t>Strong perimeter defense</t>
        </is>
      </c>
      <c r="I17" s="13">
        <f>ROUND(F17/(D17+1)*10,1)</f>
        <v/>
      </c>
    </row>
    <row r="18">
      <c r="A18" t="inlineStr">
        <is>
          <t>B-0017</t>
        </is>
      </c>
      <c r="B18" t="inlineStr">
        <is>
          <t>Gate</t>
        </is>
      </c>
      <c r="C18" t="inlineStr">
        <is>
          <t>Defense</t>
        </is>
      </c>
      <c r="D18" t="n">
        <v>60</v>
      </c>
      <c r="E18" t="n">
        <v>90</v>
      </c>
      <c r="F18" t="n">
        <v>400</v>
      </c>
      <c r="G18" t="n">
        <v>0</v>
      </c>
      <c r="H18" t="inlineStr">
        <is>
          <t>Controlled entry point</t>
        </is>
      </c>
      <c r="I18" s="13">
        <f>ROUND(F18/(D18+1)*10,1)</f>
        <v/>
      </c>
    </row>
    <row r="19">
      <c r="A19" t="inlineStr">
        <is>
          <t>B-0018</t>
        </is>
      </c>
      <c r="B19" t="inlineStr">
        <is>
          <t>Turret (Manual)</t>
        </is>
      </c>
      <c r="C19" t="inlineStr">
        <is>
          <t>Defense</t>
        </is>
      </c>
      <c r="D19" t="n">
        <v>300</v>
      </c>
      <c r="E19" t="n">
        <v>300</v>
      </c>
      <c r="F19" t="n">
        <v>350</v>
      </c>
      <c r="G19" t="n">
        <v>0</v>
      </c>
      <c r="H19" t="inlineStr">
        <is>
          <t>Manned ranged defense</t>
        </is>
      </c>
      <c r="I19" s="13">
        <f>ROUND(F19/(D19+1)*10,1)</f>
        <v/>
      </c>
    </row>
    <row r="20">
      <c r="A20" t="inlineStr">
        <is>
          <t>B-0019</t>
        </is>
      </c>
      <c r="B20" t="inlineStr">
        <is>
          <t>Auto-Turret</t>
        </is>
      </c>
      <c r="C20" t="inlineStr">
        <is>
          <t>Defense</t>
        </is>
      </c>
      <c r="D20" t="n">
        <v>800</v>
      </c>
      <c r="E20" t="n">
        <v>480</v>
      </c>
      <c r="F20" t="n">
        <v>300</v>
      </c>
      <c r="G20" t="n">
        <v>12</v>
      </c>
      <c r="H20" t="inlineStr">
        <is>
          <t>Automated defense</t>
        </is>
      </c>
      <c r="I20" s="13">
        <f>ROUND(F20/(D20+1)*10,1)</f>
        <v/>
      </c>
    </row>
    <row r="21">
      <c r="A21" t="inlineStr">
        <is>
          <t>B-0020</t>
        </is>
      </c>
      <c r="B21" t="inlineStr">
        <is>
          <t>Barracks</t>
        </is>
      </c>
      <c r="C21" t="inlineStr">
        <is>
          <t>Shelter</t>
        </is>
      </c>
      <c r="D21" t="n">
        <v>300</v>
      </c>
      <c r="E21" t="n">
        <v>420</v>
      </c>
      <c r="F21" t="n">
        <v>500</v>
      </c>
      <c r="G21" t="n">
        <v>2</v>
      </c>
      <c r="H21" t="inlineStr">
        <is>
          <t>Houses 8 people, faster healing</t>
        </is>
      </c>
      <c r="I21" s="13">
        <f>ROUND(F21/(D21+1)*10,1)</f>
        <v/>
      </c>
    </row>
    <row r="22">
      <c r="A22" t="inlineStr">
        <is>
          <t>B-0021</t>
        </is>
      </c>
      <c r="B22" t="inlineStr">
        <is>
          <t>Workshop</t>
        </is>
      </c>
      <c r="C22" t="inlineStr">
        <is>
          <t>Production</t>
        </is>
      </c>
      <c r="D22" t="n">
        <v>250</v>
      </c>
      <c r="E22" t="n">
        <v>360</v>
      </c>
      <c r="F22" t="n">
        <v>400</v>
      </c>
      <c r="G22" t="n">
        <v>5</v>
      </c>
      <c r="H22" t="inlineStr">
        <is>
          <t>Crafts gear and weapons</t>
        </is>
      </c>
      <c r="I22" s="13">
        <f>ROUND(F22/(D22+1)*10,1)</f>
        <v/>
      </c>
    </row>
    <row r="23">
      <c r="A23" t="inlineStr">
        <is>
          <t>B-0022</t>
        </is>
      </c>
      <c r="B23" t="inlineStr">
        <is>
          <t>Medical Station</t>
        </is>
      </c>
      <c r="C23" t="inlineStr">
        <is>
          <t>Utility</t>
        </is>
      </c>
      <c r="D23" t="n">
        <v>200</v>
      </c>
      <c r="E23" t="n">
        <v>240</v>
      </c>
      <c r="F23" t="n">
        <v>200</v>
      </c>
      <c r="G23" t="n">
        <v>3</v>
      </c>
      <c r="H23" t="inlineStr">
        <is>
          <t>Heals injured units faster</t>
        </is>
      </c>
      <c r="I23" s="13">
        <f>ROUND(F23/(D23+1)*10,1)</f>
        <v/>
      </c>
    </row>
    <row r="24">
      <c r="A24" t="inlineStr">
        <is>
          <t>B-0023</t>
        </is>
      </c>
      <c r="B24" t="inlineStr">
        <is>
          <t>Training Dummy</t>
        </is>
      </c>
      <c r="C24" t="inlineStr">
        <is>
          <t>Utility</t>
        </is>
      </c>
      <c r="D24" t="n">
        <v>40</v>
      </c>
      <c r="E24" t="n">
        <v>30</v>
      </c>
      <c r="F24" t="n">
        <v>150</v>
      </c>
      <c r="G24" t="n">
        <v>0</v>
      </c>
      <c r="H24" t="inlineStr">
        <is>
          <t>Passive combat XP gain</t>
        </is>
      </c>
      <c r="I24" s="13">
        <f>ROUND(F24/(D24+1)*10,1)</f>
        <v/>
      </c>
    </row>
    <row r="25">
      <c r="A25" s="12" t="inlineStr">
        <is>
          <t>B-0024</t>
        </is>
      </c>
      <c r="B25" s="12" t="inlineStr">
        <is>
          <t>Trading Post</t>
        </is>
      </c>
      <c r="C25" s="12" t="inlineStr">
        <is>
          <t>Utility</t>
        </is>
      </c>
      <c r="D25" s="12" t="n">
        <v>400</v>
      </c>
      <c r="E25" s="12" t="n">
        <v>480</v>
      </c>
      <c r="F25" s="12" t="n">
        <v>400</v>
      </c>
      <c r="G25" s="12" t="n">
        <v>5</v>
      </c>
      <c r="H25" s="12" t="inlineStr">
        <is>
          <t>Attracts traders</t>
        </is>
      </c>
      <c r="I25" s="14">
        <f>ROUND(F25/(D25+1)*10,1)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tabSelected="1" workbookViewId="0">
      <pane ySplit="1" topLeftCell="A2" activePane="bottomLeft" state="frozen"/>
      <selection pane="bottomLeft" activeCell="M9" sqref="M9"/>
    </sheetView>
  </sheetViews>
  <sheetFormatPr baseColWidth="8" defaultRowHeight="15"/>
  <cols>
    <col width="13.42578125" customWidth="1" style="40" min="1" max="1"/>
    <col width="17.85546875" bestFit="1" customWidth="1" style="40" min="2" max="2"/>
    <col width="39.42578125" customWidth="1" style="40" min="3" max="3"/>
    <col width="18.28515625" customWidth="1" style="40" min="5" max="5"/>
    <col width="17.28515625" bestFit="1" customWidth="1" style="40" min="6" max="7"/>
    <col width="17.28515625" customWidth="1" style="40" min="8" max="8"/>
    <col width="18.28515625" customWidth="1" style="40"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40">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0" min="1" max="1"/>
    <col width="32.7109375" bestFit="1" customWidth="1" style="40" min="2" max="2"/>
    <col width="13.7109375" bestFit="1" customWidth="1" style="40" min="4" max="4"/>
    <col width="6" bestFit="1" customWidth="1" style="40" min="5" max="5"/>
  </cols>
  <sheetData>
    <row r="1" ht="21" customHeight="1" s="40">
      <c r="A1" s="27" t="inlineStr">
        <is>
          <t>CHASMA COMBAT SYSTEM</t>
        </is>
      </c>
    </row>
    <row r="3" ht="15.75" customHeight="1" s="40">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0">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0">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K2" t="inlineStr"/>
      <c r="L2" t="inlineStr">
        <is>
          <t>attack_fists</t>
        </is>
      </c>
      <c r="M2" t="inlineStr">
        <is>
          <t>Enemies</t>
        </is>
      </c>
      <c r="N2" t="inlineStr"/>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K3" t="inlineStr"/>
      <c r="L3" t="inlineStr">
        <is>
          <t>attack_bite</t>
        </is>
      </c>
      <c r="M3" t="inlineStr">
        <is>
          <t>Enemies, Wildlife</t>
        </is>
      </c>
      <c r="N3" t="inlineStr"/>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K4" t="inlineStr"/>
      <c r="L4" t="inlineStr">
        <is>
          <t>attack_claws</t>
        </is>
      </c>
      <c r="M4" t="inlineStr">
        <is>
          <t>Enemies, Wildlife</t>
        </is>
      </c>
      <c r="N4" t="inlineStr"/>
      <c r="O4"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2026-07-10T23:19:02Z</dcterms:modified>
  <cp:lastModifiedBy>Matthew Dewyer</cp:lastModifiedBy>
</cp:coreProperties>
</file>