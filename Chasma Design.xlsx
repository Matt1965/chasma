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0" windowWidth="28785" windowHeight="15570" tabRatio="600" firstSheet="0" activeTab="5" autoFilterDateGrouping="1"/>
  </bookViews>
  <sheets>
    <sheet name="Unit Import Schema" sheetId="1" state="visible" r:id="rId1"/>
    <sheet name="Hotkeys" sheetId="2" state="visible" r:id="rId2"/>
    <sheet name="Development" sheetId="3" state="visible" r:id="rId3"/>
    <sheet name="Unit Stats" sheetId="4" state="visible" r:id="rId4"/>
    <sheet name="Units" sheetId="5" state="visible" r:id="rId5"/>
    <sheet name="Lore" sheetId="6" state="visible" r:id="rId6"/>
    <sheet name="Items" sheetId="7" state="visible" r:id="rId7"/>
    <sheet name="Doodads" sheetId="8" state="visible" r:id="rId8"/>
    <sheet name="Factions" sheetId="9" state="visible" r:id="rId9"/>
    <sheet name="Biomes" sheetId="10" state="visible" r:id="rId10"/>
    <sheet name="Combat" sheetId="11" state="visible" r:id="rId11"/>
    <sheet name="Weapons" sheetId="12" state="visible" r:id="rId12"/>
    <sheet name="Animation Profiles" sheetId="13" state="visible" r:id="rId13"/>
    <sheet name="Building Categories" sheetId="14" state="visible" r:id="rId14"/>
    <sheet name="Buildings" sheetId="15" state="visible" r:id="rId15"/>
    <sheet name="Item Categories" sheetId="16" state="visible" r:id="rId16"/>
    <sheet name="Species" sheetId="17" state="visible" r:id="rId17"/>
    <sheet name="Rel Faction Faction" sheetId="18" state="visible" r:id="rId18"/>
    <sheet name="Rel Faction Species" sheetId="19" state="visible" r:id="rId19"/>
    <sheet name="Armor Profiles" sheetId="20" state="visible" r:id="rId20"/>
    <sheet name="Equipment Visuals" sheetId="21" state="visible" r:id="rId21"/>
    <sheet name="Appearance Profiles" sheetId="22" state="visible" r:id="rId22"/>
    <sheet name="Appearance Body Variants" sheetId="23" state="visible" r:id="rId23"/>
    <sheet name="Appearance Parameters" sheetId="24" state="visible" r:id="rId24"/>
    <sheet name="Appearance Morph Mappings" sheetId="25" state="visible" r:id="rId25"/>
  </sheets>
  <definedNames>
    <definedName name="_xlnm._FilterDatabase" localSheetId="1" hidden="1">'Hotkeys'!$A$4:$I$112</definedName>
  </definedNames>
  <calcPr calcId="191029" fullCalcOnLoad="1"/>
</workbook>
</file>

<file path=xl/styles.xml><?xml version="1.0" encoding="utf-8"?>
<styleSheet xmlns="http://schemas.openxmlformats.org/spreadsheetml/2006/main">
  <numFmts count="0"/>
  <fonts count="15">
    <font>
      <name val="Aptos Narrow"/>
      <family val="2"/>
      <color theme="1"/>
      <sz val="11"/>
      <scheme val="minor"/>
    </font>
    <font>
      <name val="Aptos Narrow"/>
      <family val="2"/>
      <b val="1"/>
      <color theme="1"/>
      <sz val="11"/>
      <scheme val="minor"/>
    </font>
    <font>
      <name val="Aptos Narrow"/>
      <family val="2"/>
      <color rgb="FFFFFFFF"/>
      <sz val="11"/>
      <scheme val="minor"/>
    </font>
    <font>
      <name val="Aptos Narrow"/>
      <family val="2"/>
      <b val="1"/>
      <color rgb="FFFFFFFF"/>
      <sz val="11"/>
      <scheme val="minor"/>
    </font>
    <font>
      <name val="Aptos Narrow"/>
      <family val="2"/>
      <b val="1"/>
      <color theme="1"/>
      <sz val="12"/>
      <scheme val="minor"/>
    </font>
    <font>
      <name val="Aptos Narrow"/>
      <family val="2"/>
      <b val="1"/>
      <color theme="1"/>
      <sz val="14"/>
      <scheme val="minor"/>
    </font>
    <font>
      <name val="Aptos Narrow"/>
      <family val="2"/>
      <b val="1"/>
      <color rgb="FFC00000"/>
      <sz val="16"/>
      <scheme val="minor"/>
    </font>
    <font>
      <name val="Aptos Narrow"/>
      <family val="2"/>
      <b val="1"/>
      <color rgb="FFC00000"/>
      <sz val="11"/>
      <scheme val="minor"/>
    </font>
    <font>
      <name val="Aptos Narrow"/>
      <family val="2"/>
      <b val="1"/>
      <color rgb="FF1F4E79"/>
      <sz val="11"/>
      <scheme val="minor"/>
    </font>
    <font>
      <name val="Aptos Narrow"/>
      <family val="2"/>
      <b val="1"/>
      <color rgb="FF538135"/>
      <sz val="11"/>
      <scheme val="minor"/>
    </font>
    <font>
      <name val="Aptos Narrow"/>
      <family val="2"/>
      <b val="1"/>
      <color theme="1"/>
      <sz val="13.5"/>
      <scheme val="minor"/>
    </font>
    <font>
      <name val="Aptos Narrow"/>
      <family val="2"/>
      <b val="1"/>
      <color rgb="FF006100"/>
      <sz val="11"/>
    </font>
    <font>
      <name val="Aptos Narrow"/>
      <family val="2"/>
      <b val="1"/>
      <sz val="12"/>
    </font>
    <font>
      <name val="Aptos Narrow"/>
      <family val="2"/>
      <b val="1"/>
      <color rgb="FFFFFFFF"/>
      <sz val="11"/>
    </font>
    <font>
      <name val="Aptos Narrow"/>
      <family val="2"/>
      <b val="1"/>
      <sz val="14"/>
    </font>
  </fonts>
  <fills count="18">
    <fill>
      <patternFill/>
    </fill>
    <fill>
      <patternFill patternType="gray125"/>
    </fill>
    <fill>
      <patternFill patternType="solid">
        <fgColor rgb="FF2E4057"/>
        <bgColor indexed="64"/>
      </patternFill>
    </fill>
    <fill>
      <patternFill patternType="solid">
        <fgColor rgb="FFF5F5F5"/>
        <bgColor indexed="64"/>
      </patternFill>
    </fill>
    <fill>
      <patternFill patternType="solid">
        <fgColor rgb="FF4A6741"/>
        <bgColor indexed="64"/>
      </patternFill>
    </fill>
    <fill>
      <patternFill patternType="solid">
        <fgColor rgb="FFFFFFFF"/>
        <bgColor indexed="64"/>
      </patternFill>
    </fill>
    <fill>
      <patternFill patternType="solid">
        <fgColor rgb="FF5C4033"/>
        <bgColor indexed="64"/>
      </patternFill>
    </fill>
    <fill>
      <patternFill patternType="solid">
        <fgColor rgb="FF1F4E79"/>
        <bgColor indexed="64"/>
      </patternFill>
    </fill>
    <fill>
      <patternFill patternType="solid">
        <fgColor rgb="FF2E75B6"/>
        <bgColor indexed="64"/>
      </patternFill>
    </fill>
    <fill>
      <patternFill patternType="solid">
        <fgColor rgb="FF4472C4"/>
        <bgColor indexed="64"/>
      </patternFill>
    </fill>
    <fill>
      <patternFill patternType="solid">
        <fgColor rgb="FF538135"/>
        <bgColor indexed="64"/>
      </patternFill>
    </fill>
    <fill>
      <patternFill patternType="solid">
        <fgColor rgb="FFC00000"/>
        <bgColor indexed="64"/>
      </patternFill>
    </fill>
    <fill>
      <patternFill patternType="solid">
        <fgColor rgb="FF2F5496"/>
        <bgColor indexed="64"/>
      </patternFill>
    </fill>
    <fill>
      <patternFill patternType="solid">
        <fgColor theme="9" tint="-0.249977111117893"/>
        <bgColor indexed="64"/>
      </patternFill>
    </fill>
    <fill>
      <patternFill patternType="solid">
        <fgColor rgb="FFE2EFDA"/>
      </patternFill>
    </fill>
    <fill>
      <patternFill patternType="solid">
        <fgColor rgb="FFD9E1F2"/>
      </patternFill>
    </fill>
    <fill>
      <patternFill patternType="solid">
        <fgColor rgb="FF1F4E79"/>
      </patternFill>
    </fill>
    <fill>
      <patternFill patternType="solid">
        <fgColor rgb="FFD9E1F2"/>
      </patternFill>
    </fill>
  </fills>
  <borders count="6">
    <border>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38">
    <xf numFmtId="0" fontId="0" fillId="0" borderId="0" pivotButton="0" quotePrefix="0" xfId="0"/>
    <xf numFmtId="0" fontId="0" fillId="3" borderId="3" applyAlignment="1" pivotButton="0" quotePrefix="0" xfId="0">
      <alignment horizontal="center"/>
    </xf>
    <xf numFmtId="0" fontId="3" fillId="2" borderId="3" applyAlignment="1" pivotButton="0" quotePrefix="0" xfId="0">
      <alignment horizontal="center"/>
    </xf>
    <xf numFmtId="0" fontId="0" fillId="3" borderId="3" pivotButton="0" quotePrefix="0" xfId="0"/>
    <xf numFmtId="0" fontId="0" fillId="5" borderId="3" pivotButton="0" quotePrefix="0" xfId="0"/>
    <xf numFmtId="0" fontId="3" fillId="4" borderId="3" applyAlignment="1" pivotButton="0" quotePrefix="0" xfId="0">
      <alignment horizontal="center"/>
    </xf>
    <xf numFmtId="0" fontId="1" fillId="0" borderId="0" pivotButton="0" quotePrefix="0" xfId="0"/>
    <xf numFmtId="0" fontId="4" fillId="0" borderId="0" pivotButton="0" quotePrefix="0" xfId="0"/>
    <xf numFmtId="0" fontId="3" fillId="6" borderId="0" applyAlignment="1" pivotButton="0" quotePrefix="0" xfId="0">
      <alignment horizontal="center"/>
    </xf>
    <xf numFmtId="0" fontId="3" fillId="7" borderId="4" applyAlignment="1" pivotButton="0" quotePrefix="0" xfId="0">
      <alignment horizontal="center"/>
    </xf>
    <xf numFmtId="0" fontId="0" fillId="0" borderId="1" pivotButton="0" quotePrefix="0" xfId="0"/>
    <xf numFmtId="0" fontId="0" fillId="0" borderId="5" pivotButton="0" quotePrefix="0" xfId="0"/>
    <xf numFmtId="0" fontId="0" fillId="0" borderId="2" pivotButton="0" quotePrefix="0" xfId="0"/>
    <xf numFmtId="0" fontId="3" fillId="8" borderId="0" pivotButton="0" quotePrefix="0" xfId="0"/>
    <xf numFmtId="0" fontId="2" fillId="9" borderId="0" pivotButton="0" quotePrefix="0" xfId="0"/>
    <xf numFmtId="0" fontId="2" fillId="10" borderId="0" pivotButton="0" quotePrefix="0" xfId="0"/>
    <xf numFmtId="0" fontId="3" fillId="10" borderId="0" pivotButton="0" quotePrefix="0" xfId="0"/>
    <xf numFmtId="0" fontId="2" fillId="11" borderId="0" pivotButton="0" quotePrefix="0" xfId="0"/>
    <xf numFmtId="0" fontId="3" fillId="11" borderId="0" pivotButton="0" quotePrefix="0" xfId="0"/>
    <xf numFmtId="0" fontId="3" fillId="12"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0" fillId="0" borderId="0" applyAlignment="1" pivotButton="0" quotePrefix="0" xfId="0">
      <alignment vertical="top" wrapText="1"/>
    </xf>
    <xf numFmtId="0" fontId="10"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horizontal="left" vertical="top" wrapText="1"/>
    </xf>
    <xf numFmtId="0" fontId="1" fillId="0" borderId="0" applyAlignment="1" pivotButton="0" quotePrefix="0" xfId="0">
      <alignment horizontal="left" vertical="top" wrapText="1"/>
    </xf>
    <xf numFmtId="0" fontId="3" fillId="13" borderId="0" applyAlignment="1" pivotButton="0" quotePrefix="0" xfId="0">
      <alignment horizontal="center"/>
    </xf>
    <xf numFmtId="0" fontId="12" fillId="15" borderId="0" pivotButton="0" quotePrefix="0" xfId="0"/>
    <xf numFmtId="0" fontId="11" fillId="14" borderId="0" pivotButton="0" quotePrefix="0" xfId="0"/>
    <xf numFmtId="0" fontId="14" fillId="17" borderId="0" pivotButton="0" quotePrefix="0" xfId="0"/>
    <xf numFmtId="0" fontId="0" fillId="17" borderId="0" pivotButton="0" quotePrefix="0" xfId="0"/>
    <xf numFmtId="0" fontId="13" fillId="16" borderId="0" applyAlignment="1" pivotButton="0" quotePrefix="0" xfId="0">
      <alignment horizontal="center" vertical="center" wrapText="1"/>
    </xf>
    <xf numFmtId="0" fontId="0" fillId="0" borderId="0" applyAlignment="1" pivotButton="0" quotePrefix="0" xfId="0">
      <alignment wrapText="1"/>
    </xf>
    <xf numFmtId="0" fontId="0" fillId="0" borderId="0" pivotButton="0" quotePrefix="0" xfId="0"/>
    <xf numFmtId="0" fontId="5" fillId="0" borderId="0" pivotButton="0" quotePrefix="0" xfId="0"/>
  </cellXfs>
  <cellStyles count="1">
    <cellStyle name="Normal" xfId="0" builtinId="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comments/comment1.xml><?xml version="1.0" encoding="utf-8"?>
<comments xmlns="http://schemas.openxmlformats.org/spreadsheetml/2006/main">
  <authors>
    <author>chasma-import</author>
  </authors>
  <commentList>
    <comment ref="A1" authorId="0" shapeId="0">
      <text>
        <t>USED — unique id (UnitDefinitionId); required</t>
      </text>
    </comment>
    <comment ref="B1" authorId="0" shapeId="0">
      <text>
        <t>USED — display name; required</t>
      </text>
    </comment>
    <comment ref="C1" authorId="0" shapeId="0">
      <text>
        <t>STORED — design metadata only; not runtime ownership</t>
      </text>
    </comment>
    <comment ref="E1" authorId="0" shapeId="0">
      <text>
        <t>USED — GLB path → render key (e.g. robot); blank = no mesh</t>
      </text>
    </comment>
    <comment ref="F1" authorId="0" shapeId="0">
      <text>
        <t>STORED — catalog stat; no gameplay effect yet</t>
      </text>
    </comment>
    <comment ref="G1" authorId="0" shapeId="0">
      <text>
        <t>STORED — catalog stat; no gameplay effect yet</t>
      </text>
    </comment>
    <comment ref="H1" authorId="0" shapeId="0">
      <text>
        <t>STORED — catalog stat; no gameplay effect yet</t>
      </text>
    </comment>
    <comment ref="I1" authorId="0" shapeId="0">
      <text>
        <t>STORED — catalog stat; no gameplay effect yet</t>
      </text>
    </comment>
    <comment ref="J1" authorId="0" shapeId="0">
      <text>
        <t>STORED — catalog stat; no gameplay effect yet</t>
      </text>
    </comment>
    <comment ref="K1" authorId="0" shapeId="0">
      <text>
        <t>STORED — catalog stat only; does NOT affect move speed (use Move Speed)</t>
      </text>
    </comment>
    <comment ref="L1" authorId="0" shapeId="0">
      <text>
        <t>STORED — catalog stat; no gameplay effect yet</t>
      </text>
    </comment>
    <comment ref="M1" authorId="0" shapeId="0">
      <text>
        <t>STORED — catalog stat; no gameplay effect yet</t>
      </text>
    </comment>
    <comment ref="N1" authorId="0" shapeId="0">
      <text>
        <t>IGNORED — sheet formula only; importer skips this column</t>
      </text>
    </comment>
    <comment ref="O1" authorId="0" shapeId="0">
      <text>
        <t>STORED — imported float; no gameplay effect yet (script writes computed value)</t>
      </text>
    </comment>
    <comment ref="P1" authorId="0" shapeId="0">
      <text>
        <t>USED — required string (Elite/Veteran/…); imported to catalog (script writes computed value)</t>
      </text>
    </comment>
    <comment ref="Q1" authorId="0" shapeId="0">
      <text>
        <t>USED — meters/sec for movement simulation (authoritative for speed)</t>
      </text>
    </comment>
    <comment ref="R1" authorId="0" shapeId="0">
      <text>
        <t>USED — meters; selection ring + steering radius</t>
      </text>
    </comment>
    <comment ref="S1" authorId="0" shapeId="0">
      <text>
        <t>USED — degrees; max walkable terrain slope for pathfinding</t>
      </text>
    </comment>
    <comment ref="U1" authorId="0" shapeId="0">
      <text>
        <t>USED — Y/N; N excludes row from imported catalog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22" sqref="A22:D22"/>
    </sheetView>
  </sheetViews>
  <sheetFormatPr baseColWidth="8" defaultRowHeight="15"/>
  <cols>
    <col width="18" customWidth="1" style="36" min="1" max="1"/>
    <col width="22" customWidth="1" style="36" min="2" max="3"/>
    <col width="48" customWidth="1" style="36" min="4" max="4"/>
  </cols>
  <sheetData>
    <row r="1" ht="15.75" customHeight="1" s="36">
      <c r="A1" s="30" t="inlineStr">
        <is>
          <t>Column</t>
        </is>
      </c>
      <c r="B1" s="30" t="inlineStr">
        <is>
          <t>Import</t>
        </is>
      </c>
      <c r="C1" s="30" t="inlineStr">
        <is>
          <t>Runtime use</t>
        </is>
      </c>
      <c r="D1" s="30" t="inlineStr">
        <is>
          <t>Notes</t>
        </is>
      </c>
    </row>
    <row r="2">
      <c r="A2" t="inlineStr">
        <is>
          <t>Unit ID</t>
        </is>
      </c>
      <c r="B2" t="inlineStr">
        <is>
          <t>Required</t>
        </is>
      </c>
      <c r="C2" t="inlineStr">
        <is>
          <t>Catalog key</t>
        </is>
      </c>
    </row>
    <row r="3">
      <c r="A3" t="inlineStr">
        <is>
          <t>Name</t>
        </is>
      </c>
      <c r="B3" t="inlineStr">
        <is>
          <t>Required</t>
        </is>
      </c>
      <c r="C3" t="inlineStr">
        <is>
          <t>Display name</t>
        </is>
      </c>
    </row>
    <row r="4">
      <c r="A4" t="inlineStr">
        <is>
          <t>Faction</t>
        </is>
      </c>
      <c r="B4" t="inlineStr">
        <is>
          <t>Required</t>
        </is>
      </c>
      <c r="C4" t="inlineStr">
        <is>
          <t>Metadata tag</t>
        </is>
      </c>
      <c r="D4" t="inlineStr">
        <is>
          <t>Not instance ownership</t>
        </is>
      </c>
    </row>
    <row r="5">
      <c r="A5" t="inlineStr">
        <is>
          <t>File Path</t>
        </is>
      </c>
      <c r="B5" t="inlineStr">
        <is>
          <t>Optional</t>
        </is>
      </c>
      <c r="C5" t="inlineStr">
        <is>
          <t>Render mesh key</t>
        </is>
      </c>
      <c r="D5" t="inlineStr">
        <is>
          <t>Blank = no dev spawn mesh</t>
        </is>
      </c>
    </row>
    <row r="6">
      <c r="A6" t="inlineStr">
        <is>
          <t>Level</t>
        </is>
      </c>
      <c r="B6" t="inlineStr">
        <is>
          <t>Required</t>
        </is>
      </c>
      <c r="C6" t="inlineStr">
        <is>
          <t>Catalog only</t>
        </is>
      </c>
    </row>
    <row r="7">
      <c r="A7" t="inlineStr">
        <is>
          <t>Base HP</t>
        </is>
      </c>
      <c r="B7" t="inlineStr">
        <is>
          <t>Required</t>
        </is>
      </c>
      <c r="C7" t="inlineStr">
        <is>
          <t>Catalog only</t>
        </is>
      </c>
    </row>
    <row r="8">
      <c r="A8" t="inlineStr">
        <is>
          <t>Strength</t>
        </is>
      </c>
      <c r="B8" t="inlineStr">
        <is>
          <t>Required</t>
        </is>
      </c>
      <c r="C8" t="inlineStr">
        <is>
          <t>Catalog only</t>
        </is>
      </c>
    </row>
    <row r="9">
      <c r="A9" t="inlineStr">
        <is>
          <t>Dexterity</t>
        </is>
      </c>
      <c r="B9" t="inlineStr">
        <is>
          <t>Required</t>
        </is>
      </c>
      <c r="C9" t="inlineStr">
        <is>
          <t>Catalog only</t>
        </is>
      </c>
    </row>
    <row r="10">
      <c r="A10" t="inlineStr">
        <is>
          <t>Constitution</t>
        </is>
      </c>
      <c r="B10" t="inlineStr">
        <is>
          <t>Required</t>
        </is>
      </c>
      <c r="C10" t="inlineStr">
        <is>
          <t>Catalog only</t>
        </is>
      </c>
    </row>
    <row r="11">
      <c r="A11" t="inlineStr">
        <is>
          <t>Agility</t>
        </is>
      </c>
      <c r="B11" t="inlineStr">
        <is>
          <t>Required</t>
        </is>
      </c>
      <c r="C11" t="inlineStr">
        <is>
          <t>Catalog only</t>
        </is>
      </c>
      <c r="D11" t="inlineStr">
        <is>
          <t>Does not drive movement speed</t>
        </is>
      </c>
    </row>
    <row r="12">
      <c r="A12" t="inlineStr">
        <is>
          <t>Charisma</t>
        </is>
      </c>
      <c r="B12" t="inlineStr">
        <is>
          <t>Required</t>
        </is>
      </c>
      <c r="C12" t="inlineStr">
        <is>
          <t>Catalog only</t>
        </is>
      </c>
    </row>
    <row r="13">
      <c r="A13" t="inlineStr">
        <is>
          <t>Intelligence</t>
        </is>
      </c>
      <c r="B13" t="inlineStr">
        <is>
          <t>Required</t>
        </is>
      </c>
      <c r="C13" t="inlineStr">
        <is>
          <t>Catalog only</t>
        </is>
      </c>
    </row>
    <row r="14">
      <c r="A14" t="inlineStr">
        <is>
          <t>Total Stats</t>
        </is>
      </c>
      <c r="B14" t="inlineStr">
        <is>
          <t>Ignored</t>
        </is>
      </c>
      <c r="C14" t="inlineStr">
        <is>
          <t>—</t>
        </is>
      </c>
      <c r="D14" t="inlineStr">
        <is>
          <t>Excel helper column</t>
        </is>
      </c>
    </row>
    <row r="15">
      <c r="A15" t="inlineStr">
        <is>
          <t>Power Rating</t>
        </is>
      </c>
      <c r="B15" t="inlineStr">
        <is>
          <t>Required</t>
        </is>
      </c>
      <c r="C15" t="inlineStr">
        <is>
          <t>Catalog only</t>
        </is>
      </c>
    </row>
    <row r="16">
      <c r="A16" t="inlineStr">
        <is>
          <t>Tier</t>
        </is>
      </c>
      <c r="B16" t="inlineStr">
        <is>
          <t>Required</t>
        </is>
      </c>
      <c r="C16" t="inlineStr">
        <is>
          <t>Catalog only</t>
        </is>
      </c>
    </row>
    <row r="17">
      <c r="A17" t="inlineStr">
        <is>
          <t>Move Speed</t>
        </is>
      </c>
      <c r="B17" t="inlineStr">
        <is>
          <t>Optional (default 4.0)</t>
        </is>
      </c>
      <c r="C17" t="inlineStr">
        <is>
          <t>Movement sim</t>
        </is>
      </c>
      <c r="D17" t="inlineStr">
        <is>
          <t>m/s — authoritative</t>
        </is>
      </c>
    </row>
    <row r="18">
      <c r="A18" t="inlineStr">
        <is>
          <t>Collision Radius</t>
        </is>
      </c>
      <c r="B18" t="inlineStr">
        <is>
          <t>Optional (default 0.5)</t>
        </is>
      </c>
      <c r="C18" t="inlineStr">
        <is>
          <t>Movement + UI</t>
        </is>
      </c>
      <c r="D18" t="inlineStr">
        <is>
          <t>meters</t>
        </is>
      </c>
    </row>
    <row r="19">
      <c r="A19" t="inlineStr">
        <is>
          <t>Max Slope</t>
        </is>
      </c>
      <c r="B19" t="inlineStr">
        <is>
          <t>Optional (default 40)</t>
        </is>
      </c>
      <c r="C19" t="inlineStr">
        <is>
          <t>Pathfinding</t>
        </is>
      </c>
      <c r="D19" t="inlineStr">
        <is>
          <t>degrees</t>
        </is>
      </c>
    </row>
    <row r="20">
      <c r="A20" t="inlineStr">
        <is>
          <t>Enabled</t>
        </is>
      </c>
      <c r="B20" t="inlineStr">
        <is>
          <t>Optional (default Y)</t>
        </is>
      </c>
      <c r="C20" t="inlineStr">
        <is>
          <t>Catalog filter</t>
        </is>
      </c>
      <c r="D20" t="inlineStr">
        <is>
          <t>N = row skipped</t>
        </is>
      </c>
    </row>
    <row r="22">
      <c r="A22" s="35" t="inlineStr">
        <is>
          <t>Importer: src/data_import/unit/schema.rs + excel.rs. Dev catalog loads this sheet at startup (feature=dev). Starter catalog (wolf/bandit/deer) is fallback only. Total Stats / Power Rating / Tier are written as plain values so calamine can read them (Excel formulas are not re-evaluated on import).</t>
        </is>
      </c>
    </row>
    <row r="23">
      <c r="A23" t="inlineStr">
        <is>
          <t>Animation Profile</t>
        </is>
      </c>
      <c r="B23" t="inlineStr">
        <is>
          <t>Optional</t>
        </is>
      </c>
      <c r="C23" t="inlineStr">
        <is>
          <t>Animation profile id</t>
        </is>
      </c>
      <c r="D23" t="inlineStr">
        <is>
          <t>Blank = static mesh (no animation pipeline). Must match Profile ID on Animation Profiles sheet.</t>
        </is>
      </c>
    </row>
  </sheetData>
  <mergeCells count="1">
    <mergeCell ref="A22:D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2"/>
  <sheetViews>
    <sheetView workbookViewId="0">
      <pane ySplit="4" topLeftCell="A86" activePane="bottomLeft" state="frozen"/>
      <selection pane="bottomLeft" activeCell="C108" sqref="C108"/>
    </sheetView>
  </sheetViews>
  <sheetFormatPr baseColWidth="8" defaultRowHeight="15"/>
  <cols>
    <col width="14" customWidth="1" style="36" min="1" max="1"/>
    <col width="22" customWidth="1" style="36" min="2" max="2"/>
    <col width="16" customWidth="1" style="36" min="3" max="3"/>
    <col width="12" customWidth="1" style="36" min="4" max="4"/>
    <col width="42" customWidth="1" style="36" min="5" max="5"/>
    <col width="36" customWidth="1" style="36" min="6" max="6"/>
    <col width="24" customWidth="1" style="36" min="7" max="7"/>
    <col width="34" customWidth="1" style="36" min="8" max="8"/>
    <col width="36" customWidth="1" style="36" min="9" max="9"/>
  </cols>
  <sheetData>
    <row r="1" ht="18.75" customHeight="1" s="36">
      <c r="A1" s="32" t="inlineStr">
        <is>
          <t>HOTKEY REGISTRY — Chasma</t>
        </is>
      </c>
      <c r="B1" s="33" t="n"/>
      <c r="C1" s="33" t="n"/>
      <c r="D1" s="33" t="n"/>
      <c r="E1" s="33" t="n"/>
      <c r="F1" s="33" t="n"/>
      <c r="G1" s="33" t="n"/>
      <c r="H1" s="33" t="n"/>
      <c r="I1" s="33" t="n"/>
    </row>
    <row r="2">
      <c r="A2" s="33" t="inlineStr">
        <is>
          <t>Maintenance: update this sheet whenever keyboard bindings change in src/.</t>
        </is>
      </c>
      <c r="B2" s="33" t="n"/>
      <c r="C2" s="33" t="n"/>
      <c r="D2" s="33" t="n"/>
      <c r="E2" s="33" t="inlineStr">
        <is>
          <t>Regenerate: python tools/update_hotkeys_sheet.py</t>
        </is>
      </c>
      <c r="F2" s="33" t="inlineStr">
        <is>
          <t>Audit code: rg 'KeyCode::' src/</t>
        </is>
      </c>
      <c r="G2" s="33" t="inlineStr">
        <is>
          <t>Also update docs/dev-mode.md if player-facing</t>
        </is>
      </c>
      <c r="H2" s="33" t="n"/>
      <c r="I2" s="33" t="inlineStr">
        <is>
          <t>Last regenerated by tools/update_hotkeys_sheet.py</t>
        </is>
      </c>
    </row>
    <row r="3">
      <c r="A3" s="33" t="n"/>
      <c r="B3" s="33" t="n"/>
      <c r="C3" s="33" t="n"/>
      <c r="D3" s="33" t="n"/>
      <c r="E3" s="33" t="n"/>
      <c r="F3" s="33" t="n"/>
      <c r="G3" s="33" t="n"/>
      <c r="H3" s="33" t="n"/>
      <c r="I3" s="33" t="n"/>
    </row>
    <row r="4">
      <c r="A4" s="34" t="inlineStr">
        <is>
          <t>Category</t>
        </is>
      </c>
      <c r="B4" s="34" t="inlineStr">
        <is>
          <t>Subcategory</t>
        </is>
      </c>
      <c r="C4" s="34" t="inlineStr">
        <is>
          <t>Key / Input</t>
        </is>
      </c>
      <c r="D4" s="34" t="inlineStr">
        <is>
          <t>Modifiers</t>
        </is>
      </c>
      <c r="E4" s="34" t="inlineStr">
        <is>
          <t>Action</t>
        </is>
      </c>
      <c r="F4" s="34" t="inlineStr">
        <is>
          <t>Context / Preconditions</t>
        </is>
      </c>
      <c r="G4" s="34" t="inlineStr">
        <is>
          <t>Blocked When</t>
        </is>
      </c>
      <c r="H4" s="34" t="inlineStr">
        <is>
          <t>Source File</t>
        </is>
      </c>
      <c r="I4" s="34" t="inlineStr">
        <is>
          <t>Overlap Notes</t>
        </is>
      </c>
    </row>
    <row r="5" ht="30" customHeight="1" s="36">
      <c r="A5" s="24" t="inlineStr">
        <is>
          <t>Global</t>
        </is>
      </c>
      <c r="B5" s="24" t="inlineStr">
        <is>
          <t>Simulation</t>
        </is>
      </c>
      <c r="C5" s="24" t="inlineStr">
        <is>
          <t>Space</t>
        </is>
      </c>
      <c r="D5" s="24" t="n"/>
      <c r="E5" s="24" t="inlineStr">
        <is>
          <t>Toggle simulation pause / resume</t>
        </is>
      </c>
      <c r="F5" s="24" t="inlineStr">
        <is>
          <t>Always (when not typing in focused text field elsewhere)</t>
        </is>
      </c>
      <c r="G5" s="24" t="inlineStr">
        <is>
          <t>Dev text focus does not block this system directly</t>
        </is>
      </c>
      <c r="H5" s="24" t="inlineStr">
        <is>
          <t>src/simulation/input.rs</t>
        </is>
      </c>
      <c r="I5" s="24" t="inlineStr">
        <is>
          <t>Shares Space with build-mode search typing only when that field focused</t>
        </is>
      </c>
    </row>
    <row r="6">
      <c r="A6" s="24" t="inlineStr">
        <is>
          <t>Global</t>
        </is>
      </c>
      <c r="B6" s="24" t="inlineStr">
        <is>
          <t>Simulation</t>
        </is>
      </c>
      <c r="C6" s="24" t="inlineStr">
        <is>
          <t>Shift+Space</t>
        </is>
      </c>
      <c r="D6" s="24" t="inlineStr">
        <is>
          <t>Shift</t>
        </is>
      </c>
      <c r="E6" s="24" t="inlineStr">
        <is>
          <t>Step simulation one tick</t>
        </is>
      </c>
      <c r="F6" s="24" t="inlineStr">
        <is>
          <t>Simulation control active</t>
        </is>
      </c>
      <c r="G6" s="24" t="n"/>
      <c r="H6" s="24" t="inlineStr">
        <is>
          <t>src/simulation/input.rs</t>
        </is>
      </c>
      <c r="I6" s="24" t="n"/>
    </row>
    <row r="7">
      <c r="A7" s="24" t="inlineStr">
        <is>
          <t>Global</t>
        </is>
      </c>
      <c r="B7" s="24" t="inlineStr">
        <is>
          <t>Dev Mode</t>
        </is>
      </c>
      <c r="C7" s="24" t="inlineStr">
        <is>
          <t>F12</t>
        </is>
      </c>
      <c r="D7" s="24" t="n"/>
      <c r="E7" s="24" t="inlineStr">
        <is>
          <t>Toggle Dev Mode on/off</t>
        </is>
      </c>
      <c r="F7" s="24" t="inlineStr">
        <is>
          <t>Always</t>
        </is>
      </c>
      <c r="G7" s="24" t="n"/>
      <c r="H7" s="24" t="inlineStr">
        <is>
          <t>src/dev/input.rs</t>
        </is>
      </c>
      <c r="I7" s="24" t="n"/>
    </row>
    <row r="8" ht="30" customHeight="1" s="36">
      <c r="A8" s="24" t="inlineStr">
        <is>
          <t>Camera</t>
        </is>
      </c>
      <c r="B8" s="24" t="inlineStr">
        <is>
          <t>Pan</t>
        </is>
      </c>
      <c r="C8" s="24" t="inlineStr">
        <is>
          <t>W / A / S / D</t>
        </is>
      </c>
      <c r="D8" s="24" t="inlineStr">
        <is>
          <t>Hold</t>
        </is>
      </c>
      <c r="E8" s="24" t="inlineStr">
        <is>
          <t>Pan camera (relative to yaw)</t>
        </is>
      </c>
      <c r="F8" s="24" t="inlineStr">
        <is>
          <t>Always unless dev gate blocks camera input</t>
        </is>
      </c>
      <c r="G8" s="24" t="inlineStr">
        <is>
          <t>Dev gizmo drag may block camera</t>
        </is>
      </c>
      <c r="H8" s="24" t="inlineStr">
        <is>
          <t>src/camera/control.rs</t>
        </is>
      </c>
      <c r="I8" s="24" t="inlineStr">
        <is>
          <t>W reserved — no dev hotkey on W</t>
        </is>
      </c>
    </row>
    <row r="9" ht="30" customHeight="1" s="36">
      <c r="A9" s="24" t="inlineStr">
        <is>
          <t>Camera</t>
        </is>
      </c>
      <c r="B9" s="24" t="inlineStr">
        <is>
          <t>Pan</t>
        </is>
      </c>
      <c r="C9" s="24" t="inlineStr">
        <is>
          <t>Shift</t>
        </is>
      </c>
      <c r="D9" s="24" t="inlineStr">
        <is>
          <t>Shift (hold with WASD)</t>
        </is>
      </c>
      <c r="E9" s="24" t="inlineStr">
        <is>
          <t>Fast pan</t>
        </is>
      </c>
      <c r="F9" s="24" t="inlineStr">
        <is>
          <t>While panning</t>
        </is>
      </c>
      <c r="G9" s="24" t="n"/>
      <c r="H9" s="24" t="inlineStr">
        <is>
          <t>src/camera/control.rs</t>
        </is>
      </c>
      <c r="I9" s="24" t="inlineStr">
        <is>
          <t>Also used as modifier elsewhere</t>
        </is>
      </c>
    </row>
    <row r="10" ht="30" customHeight="1" s="36">
      <c r="A10" s="24" t="inlineStr">
        <is>
          <t>Camera</t>
        </is>
      </c>
      <c r="B10" s="24" t="inlineStr">
        <is>
          <t>Rotate</t>
        </is>
      </c>
      <c r="C10" s="24" t="inlineStr">
        <is>
          <t>Middle mouse drag</t>
        </is>
      </c>
      <c r="D10" s="24" t="inlineStr">
        <is>
          <t>Mouse</t>
        </is>
      </c>
      <c r="E10" s="24" t="inlineStr">
        <is>
          <t>Orbit camera yaw/pitch</t>
        </is>
      </c>
      <c r="F10" s="24" t="inlineStr">
        <is>
          <t>Always unless blocked</t>
        </is>
      </c>
      <c r="G10" s="24" t="n"/>
      <c r="H10" s="24" t="inlineStr">
        <is>
          <t>src/camera/control.rs</t>
        </is>
      </c>
      <c r="I10" s="24" t="n"/>
    </row>
    <row r="11">
      <c r="A11" s="24" t="inlineStr">
        <is>
          <t>Camera</t>
        </is>
      </c>
      <c r="B11" s="24" t="inlineStr">
        <is>
          <t>Zoom</t>
        </is>
      </c>
      <c r="C11" s="24" t="inlineStr">
        <is>
          <t>Mouse wheel</t>
        </is>
      </c>
      <c r="D11" s="24" t="inlineStr">
        <is>
          <t>Mouse</t>
        </is>
      </c>
      <c r="E11" s="24" t="inlineStr">
        <is>
          <t>Zoom in/out</t>
        </is>
      </c>
      <c r="F11" s="24" t="inlineStr">
        <is>
          <t>Always unless blocked</t>
        </is>
      </c>
      <c r="G11" s="24" t="n"/>
      <c r="H11" s="24" t="inlineStr">
        <is>
          <t>src/camera/control.rs</t>
        </is>
      </c>
      <c r="I11" s="24" t="n"/>
    </row>
    <row r="12" ht="30" customHeight="1" s="36">
      <c r="A12" s="24" t="inlineStr">
        <is>
          <t>Gameplay</t>
        </is>
      </c>
      <c r="B12" s="24" t="inlineStr">
        <is>
          <t>Selection</t>
        </is>
      </c>
      <c r="C12" s="24" t="inlineStr">
        <is>
          <t>Left click</t>
        </is>
      </c>
      <c r="D12" s="24" t="inlineStr">
        <is>
          <t>Mouse</t>
        </is>
      </c>
      <c r="E12" s="24" t="inlineStr">
        <is>
          <t>Select unit / clear selection on terrain</t>
        </is>
      </c>
      <c r="F12" s="24" t="inlineStr">
        <is>
          <t>Not over UI; not box-dragging</t>
        </is>
      </c>
      <c r="G12" s="24" t="inlineStr">
        <is>
          <t>Dev panel hover, build mode, inventory open</t>
        </is>
      </c>
      <c r="H12" s="24" t="inlineStr">
        <is>
          <t>src/client/pipeline.rs</t>
        </is>
      </c>
      <c r="I12" s="24" t="n"/>
    </row>
    <row r="13">
      <c r="A13" s="24" t="inlineStr">
        <is>
          <t>Gameplay</t>
        </is>
      </c>
      <c r="B13" s="24" t="inlineStr">
        <is>
          <t>Selection</t>
        </is>
      </c>
      <c r="C13" s="24" t="inlineStr">
        <is>
          <t>Shift+Left click</t>
        </is>
      </c>
      <c r="D13" s="24" t="inlineStr">
        <is>
          <t>Shift</t>
        </is>
      </c>
      <c r="E13" s="24" t="inlineStr">
        <is>
          <t>Toggle unit in selection</t>
        </is>
      </c>
      <c r="F13" s="24" t="inlineStr">
        <is>
          <t>Same as left click path</t>
        </is>
      </c>
      <c r="G13" s="24" t="n"/>
      <c r="H13" s="24" t="inlineStr">
        <is>
          <t>src/client/pipeline.rs</t>
        </is>
      </c>
      <c r="I13" s="24" t="n"/>
    </row>
    <row r="14">
      <c r="A14" s="24" t="inlineStr">
        <is>
          <t>Gameplay</t>
        </is>
      </c>
      <c r="B14" s="24" t="inlineStr">
        <is>
          <t>Selection</t>
        </is>
      </c>
      <c r="C14" s="24" t="inlineStr">
        <is>
          <t>Left drag (box)</t>
        </is>
      </c>
      <c r="D14" s="24" t="inlineStr">
        <is>
          <t>Mouse</t>
        </is>
      </c>
      <c r="E14" s="24" t="inlineStr">
        <is>
          <t>Box select units</t>
        </is>
      </c>
      <c r="F14" s="24" t="inlineStr">
        <is>
          <t>Drag threshold exceeded</t>
        </is>
      </c>
      <c r="G14" s="24" t="n"/>
      <c r="H14" s="24" t="inlineStr">
        <is>
          <t>src/client/pipeline.rs</t>
        </is>
      </c>
      <c r="I14" s="24" t="n"/>
    </row>
    <row r="15">
      <c r="A15" s="24" t="inlineStr">
        <is>
          <t>Gameplay</t>
        </is>
      </c>
      <c r="B15" s="24" t="inlineStr">
        <is>
          <t>Selection</t>
        </is>
      </c>
      <c r="C15" s="24" t="inlineStr">
        <is>
          <t>Shift+Box select</t>
        </is>
      </c>
      <c r="D15" s="24" t="inlineStr">
        <is>
          <t>Shift</t>
        </is>
      </c>
      <c r="E15" s="24" t="inlineStr">
        <is>
          <t>Add units to selection</t>
        </is>
      </c>
      <c r="F15" s="24" t="inlineStr">
        <is>
          <t>Box drag</t>
        </is>
      </c>
      <c r="G15" s="24" t="n"/>
      <c r="H15" s="24" t="inlineStr">
        <is>
          <t>src/client/pipeline.rs</t>
        </is>
      </c>
      <c r="I15" s="24" t="n"/>
    </row>
    <row r="16" ht="30" customHeight="1" s="36">
      <c r="A16" s="24" t="inlineStr">
        <is>
          <t>Gameplay</t>
        </is>
      </c>
      <c r="B16" s="24" t="inlineStr">
        <is>
          <t>Selection</t>
        </is>
      </c>
      <c r="C16" s="24" t="inlineStr">
        <is>
          <t>Alt+Left click</t>
        </is>
      </c>
      <c r="D16" s="24" t="inlineStr">
        <is>
          <t>Alt</t>
        </is>
      </c>
      <c r="E16" s="24" t="inlineStr">
        <is>
          <t>Inspect unit (dev snapshot) without requiring F12</t>
        </is>
      </c>
      <c r="F16" s="24" t="inlineStr">
        <is>
          <t>Unit under cursor</t>
        </is>
      </c>
      <c r="G16" s="24" t="n"/>
      <c r="H16" s="24" t="inlineStr">
        <is>
          <t>src/dev/inspector/input.rs</t>
        </is>
      </c>
      <c r="I16" s="24" t="inlineStr">
        <is>
          <t>Dev path; works outside dev mode for units</t>
        </is>
      </c>
    </row>
    <row r="17" ht="30" customHeight="1" s="36">
      <c r="A17" s="24" t="inlineStr">
        <is>
          <t>Gameplay</t>
        </is>
      </c>
      <c r="B17" s="24" t="inlineStr">
        <is>
          <t>Commands</t>
        </is>
      </c>
      <c r="C17" s="24" t="inlineStr">
        <is>
          <t>Right click</t>
        </is>
      </c>
      <c r="D17" s="24" t="inlineStr">
        <is>
          <t>Mouse</t>
        </is>
      </c>
      <c r="E17" s="24" t="inlineStr">
        <is>
          <t>Contextual command (move, attack, interact, etc.)</t>
        </is>
      </c>
      <c r="F17" s="24" t="inlineStr">
        <is>
          <t>Units selected; not over UI</t>
        </is>
      </c>
      <c r="G17" s="24" t="inlineStr">
        <is>
          <t>Build mode ghost, dev placement</t>
        </is>
      </c>
      <c r="H17" s="24" t="inlineStr">
        <is>
          <t>src/client/pipeline.rs</t>
        </is>
      </c>
      <c r="I17" s="24" t="n"/>
    </row>
    <row r="18" ht="30" customHeight="1" s="36">
      <c r="A18" s="24" t="inlineStr">
        <is>
          <t>Gameplay</t>
        </is>
      </c>
      <c r="B18" s="24" t="inlineStr">
        <is>
          <t>Build Mode</t>
        </is>
      </c>
      <c r="C18" s="24" t="inlineStr">
        <is>
          <t>B</t>
        </is>
      </c>
      <c r="D18" s="24" t="n"/>
      <c r="E18" s="24" t="inlineStr">
        <is>
          <t>Enter / exit build mode</t>
        </is>
      </c>
      <c r="F18" s="24" t="inlineStr">
        <is>
          <t>Not in build catalog search focus</t>
        </is>
      </c>
      <c r="G18" s="24" t="inlineStr">
        <is>
          <t>Build search focused</t>
        </is>
      </c>
      <c r="H18" s="24" t="inlineStr">
        <is>
          <t>src/ui/gameplay/build_mode/input.rs</t>
        </is>
      </c>
      <c r="I18" s="24" t="inlineStr">
        <is>
          <t>B also used in Dev treasury harness (World Tools tab)</t>
        </is>
      </c>
    </row>
    <row r="19" ht="30" customHeight="1" s="36">
      <c r="A19" s="24" t="inlineStr">
        <is>
          <t>Gameplay</t>
        </is>
      </c>
      <c r="B19" s="24" t="inlineStr">
        <is>
          <t>Build Mode</t>
        </is>
      </c>
      <c r="C19" s="24" t="inlineStr">
        <is>
          <t>Esc</t>
        </is>
      </c>
      <c r="D19" s="24" t="n"/>
      <c r="E19" s="24" t="inlineStr">
        <is>
          <t>Cancel build placement</t>
        </is>
      </c>
      <c r="F19" s="24" t="inlineStr">
        <is>
          <t>Build mode active</t>
        </is>
      </c>
      <c r="G19" s="24" t="n"/>
      <c r="H19" s="24" t="inlineStr">
        <is>
          <t>src/ui/gameplay/build_mode/input.rs</t>
        </is>
      </c>
      <c r="I19" s="24" t="inlineStr">
        <is>
          <t>Esc shared globally</t>
        </is>
      </c>
    </row>
    <row r="20" ht="30" customHeight="1" s="36">
      <c r="A20" s="24" t="inlineStr">
        <is>
          <t>Gameplay</t>
        </is>
      </c>
      <c r="B20" s="24" t="inlineStr">
        <is>
          <t>Build Mode</t>
        </is>
      </c>
      <c r="C20" s="24" t="inlineStr">
        <is>
          <t>R</t>
        </is>
      </c>
      <c r="D20" s="24" t="n"/>
      <c r="E20" s="24" t="inlineStr">
        <is>
          <t>Rotate build ghost</t>
        </is>
      </c>
      <c r="F20" s="24" t="inlineStr">
        <is>
          <t>Ghost placing</t>
        </is>
      </c>
      <c r="G20" s="24" t="n"/>
      <c r="H20" s="24" t="inlineStr">
        <is>
          <t>src/ui/gameplay/build_mode/input.rs</t>
        </is>
      </c>
      <c r="I20" s="24" t="inlineStr">
        <is>
          <t>R heavily reused in dev contexts</t>
        </is>
      </c>
    </row>
    <row r="21" ht="30" customHeight="1" s="36">
      <c r="A21" s="24" t="inlineStr">
        <is>
          <t>Gameplay</t>
        </is>
      </c>
      <c r="B21" s="24" t="inlineStr">
        <is>
          <t>Build Mode</t>
        </is>
      </c>
      <c r="C21" s="24" t="inlineStr">
        <is>
          <t>Right click</t>
        </is>
      </c>
      <c r="D21" s="24" t="inlineStr">
        <is>
          <t>Mouse</t>
        </is>
      </c>
      <c r="E21" s="24" t="inlineStr">
        <is>
          <t>Cancel build placement</t>
        </is>
      </c>
      <c r="F21" s="24" t="inlineStr">
        <is>
          <t>Build mode active</t>
        </is>
      </c>
      <c r="G21" s="24" t="n"/>
      <c r="H21" s="24" t="inlineStr">
        <is>
          <t>src/ui/gameplay/build_mode/input.rs</t>
        </is>
      </c>
      <c r="I21" s="24" t="n"/>
    </row>
    <row r="22" ht="30" customHeight="1" s="36">
      <c r="A22" s="24" t="inlineStr">
        <is>
          <t>Gameplay</t>
        </is>
      </c>
      <c r="B22" s="24" t="inlineStr">
        <is>
          <t>Build Mode</t>
        </is>
      </c>
      <c r="C22" s="24" t="inlineStr">
        <is>
          <t>Left click</t>
        </is>
      </c>
      <c r="D22" s="24" t="inlineStr">
        <is>
          <t>Mouse</t>
        </is>
      </c>
      <c r="E22" s="24" t="inlineStr">
        <is>
          <t>Place building at ghost</t>
        </is>
      </c>
      <c r="F22" s="24" t="inlineStr">
        <is>
          <t>Ghost placing; valid terrain</t>
        </is>
      </c>
      <c r="G22" s="24" t="n"/>
      <c r="H22" s="24" t="inlineStr">
        <is>
          <t>src/ui/gameplay/build_mode/input.rs</t>
        </is>
      </c>
      <c r="I22" s="24" t="n"/>
    </row>
    <row r="23" ht="30" customHeight="1" s="36">
      <c r="A23" s="24" t="inlineStr">
        <is>
          <t>Gameplay</t>
        </is>
      </c>
      <c r="B23" s="24" t="inlineStr">
        <is>
          <t>Inventory</t>
        </is>
      </c>
      <c r="C23" s="24" t="inlineStr">
        <is>
          <t>I</t>
        </is>
      </c>
      <c r="D23" s="24" t="n"/>
      <c r="E23" s="24" t="inlineStr">
        <is>
          <t>Open primary unit inventory panel</t>
        </is>
      </c>
      <c r="F23" s="24" t="inlineStr">
        <is>
          <t>Primary unit selected</t>
        </is>
      </c>
      <c r="G23" s="24" t="n"/>
      <c r="H23" s="24" t="inlineStr">
        <is>
          <t>src/ui/gameplay/inventory/input.rs</t>
        </is>
      </c>
      <c r="I23" s="24" t="inlineStr">
        <is>
          <t>I reused in Dev Items tab and building inspector</t>
        </is>
      </c>
    </row>
    <row r="24" ht="30" customHeight="1" s="36">
      <c r="A24" s="24" t="inlineStr">
        <is>
          <t>Gameplay</t>
        </is>
      </c>
      <c r="B24" s="24" t="inlineStr">
        <is>
          <t>Inventory</t>
        </is>
      </c>
      <c r="C24" s="24" t="inlineStr">
        <is>
          <t>Esc</t>
        </is>
      </c>
      <c r="D24" s="24" t="n"/>
      <c r="E24" s="24" t="inlineStr">
        <is>
          <t>Close inventory / cancel drag / cancel split dialog</t>
        </is>
      </c>
      <c r="F24" s="24" t="inlineStr">
        <is>
          <t>Inventory UI open</t>
        </is>
      </c>
      <c r="G24" s="24" t="n"/>
      <c r="H24" s="24" t="inlineStr">
        <is>
          <t>src/ui/gameplay/inventory/input.rs</t>
        </is>
      </c>
      <c r="I24" s="24" t="n"/>
    </row>
    <row r="25">
      <c r="A25" s="24" t="inlineStr">
        <is>
          <t>Gameplay</t>
        </is>
      </c>
      <c r="B25" s="24" t="inlineStr">
        <is>
          <t>Inventory</t>
        </is>
      </c>
      <c r="C25" s="24" t="inlineStr">
        <is>
          <t>Ctrl+Click entry</t>
        </is>
      </c>
      <c r="D25" s="24" t="inlineStr">
        <is>
          <t>Ctrl</t>
        </is>
      </c>
      <c r="E25" s="24" t="inlineStr">
        <is>
          <t>Transfer one item to other pane</t>
        </is>
      </c>
      <c r="F25" s="24" t="inlineStr">
        <is>
          <t>Inventory open; dual pane</t>
        </is>
      </c>
      <c r="G25" s="24" t="n"/>
      <c r="H25" s="24" t="inlineStr">
        <is>
          <t>src/ui/gameplay/inventory/panel.rs</t>
        </is>
      </c>
      <c r="I25" s="24" t="n"/>
    </row>
    <row r="26">
      <c r="A26" s="24" t="inlineStr">
        <is>
          <t>Gameplay</t>
        </is>
      </c>
      <c r="B26" s="24" t="inlineStr">
        <is>
          <t>Inventory</t>
        </is>
      </c>
      <c r="C26" s="24" t="inlineStr">
        <is>
          <t>Shift+Click entry</t>
        </is>
      </c>
      <c r="D26" s="24" t="inlineStr">
        <is>
          <t>Shift</t>
        </is>
      </c>
      <c r="E26" s="24" t="inlineStr">
        <is>
          <t>Transfer half stack to other pane</t>
        </is>
      </c>
      <c r="F26" s="24" t="inlineStr">
        <is>
          <t>Inventory open; dual pane</t>
        </is>
      </c>
      <c r="G26" s="24" t="n"/>
      <c r="H26" s="24" t="inlineStr">
        <is>
          <t>src/ui/gameplay/inventory/panel.rs</t>
        </is>
      </c>
      <c r="I26" s="24" t="n"/>
    </row>
    <row r="27" ht="30" customHeight="1" s="36">
      <c r="A27" s="24" t="inlineStr">
        <is>
          <t>Gameplay</t>
        </is>
      </c>
      <c r="B27" s="24" t="inlineStr">
        <is>
          <t>Terrain Analysis</t>
        </is>
      </c>
      <c r="C27" s="24" t="inlineStr">
        <is>
          <t>O</t>
        </is>
      </c>
      <c r="D27" s="24" t="n"/>
      <c r="E27" s="24" t="inlineStr">
        <is>
          <t>Toggle Terrain Analysis panel</t>
        </is>
      </c>
      <c r="F27" s="24" t="inlineStr">
        <is>
          <t>Always</t>
        </is>
      </c>
      <c r="G27" s="24" t="n"/>
      <c r="H27" s="24" t="inlineStr">
        <is>
          <t>src/ui/gameplay/terrain_analysis/mod.rs</t>
        </is>
      </c>
      <c r="I27" s="24" t="inlineStr">
        <is>
          <t>O reused in dev (door open, auto-sort, etc.) — different contexts</t>
        </is>
      </c>
    </row>
    <row r="28" ht="30" customHeight="1" s="36">
      <c r="A28" s="24" t="inlineStr">
        <is>
          <t>Gameplay</t>
        </is>
      </c>
      <c r="B28" s="24" t="inlineStr">
        <is>
          <t>Terrain Analysis</t>
        </is>
      </c>
      <c r="C28" s="24" t="inlineStr">
        <is>
          <t>[</t>
        </is>
      </c>
      <c r="D28" s="24" t="n"/>
      <c r="E28" s="24" t="inlineStr">
        <is>
          <t>Decrease overlay opacity</t>
        </is>
      </c>
      <c r="F28" s="24" t="inlineStr">
        <is>
          <t>Terrain Analysis panel open</t>
        </is>
      </c>
      <c r="G28" s="24" t="n"/>
      <c r="H28" s="24" t="inlineStr">
        <is>
          <t>src/ui/gameplay/terrain_analysis/mod.rs</t>
        </is>
      </c>
      <c r="I28" s="24" t="inlineStr">
        <is>
          <t>[ reused in dev for floor/yaw/quantity</t>
        </is>
      </c>
    </row>
    <row r="29" ht="30" customHeight="1" s="36">
      <c r="A29" s="24" t="inlineStr">
        <is>
          <t>Gameplay</t>
        </is>
      </c>
      <c r="B29" s="24" t="inlineStr">
        <is>
          <t>Terrain Analysis</t>
        </is>
      </c>
      <c r="C29" s="24" t="inlineStr">
        <is>
          <t>]</t>
        </is>
      </c>
      <c r="D29" s="24" t="n"/>
      <c r="E29" s="24" t="inlineStr">
        <is>
          <t>Increase overlay opacity</t>
        </is>
      </c>
      <c r="F29" s="24" t="inlineStr">
        <is>
          <t>Terrain Analysis panel open</t>
        </is>
      </c>
      <c r="G29" s="24" t="n"/>
      <c r="H29" s="24" t="inlineStr">
        <is>
          <t>src/ui/gameplay/terrain_analysis/mod.rs</t>
        </is>
      </c>
      <c r="I29" s="24" t="inlineStr">
        <is>
          <t>] reused in dev contexts</t>
        </is>
      </c>
    </row>
    <row r="30" ht="30" customHeight="1" s="36">
      <c r="A30" s="24" t="inlineStr">
        <is>
          <t>Gameplay</t>
        </is>
      </c>
      <c r="B30" s="24" t="inlineStr">
        <is>
          <t>Commands HUD</t>
        </is>
      </c>
      <c r="C30" s="24" t="inlineStr">
        <is>
          <t>(mouse)</t>
        </is>
      </c>
      <c r="D30" s="24" t="inlineStr">
        <is>
          <t>Mouse</t>
        </is>
      </c>
      <c r="E30" s="24" t="inlineStr">
        <is>
          <t>Arm Move / Attack / Interact; Stop immediate</t>
        </is>
      </c>
      <c r="F30" s="24" t="inlineStr">
        <is>
          <t>Command panel buttons</t>
        </is>
      </c>
      <c r="G30" s="24" t="n"/>
      <c r="H30" s="24" t="inlineStr">
        <is>
          <t>src/ui/gameplay/command_panel.rs</t>
        </is>
      </c>
      <c r="I30" s="24" t="inlineStr">
        <is>
          <t>No letter hotkeys for command palette</t>
        </is>
      </c>
    </row>
    <row r="31">
      <c r="A31" s="24" t="inlineStr">
        <is>
          <t>Dev Mode</t>
        </is>
      </c>
      <c r="B31" s="24" t="inlineStr">
        <is>
          <t>Core</t>
        </is>
      </c>
      <c r="C31" s="24" t="inlineStr">
        <is>
          <t>Ctrl+F</t>
        </is>
      </c>
      <c r="D31" s="24" t="inlineStr">
        <is>
          <t>Ctrl</t>
        </is>
      </c>
      <c r="E31" s="24" t="inlineStr">
        <is>
          <t>Focus catalog search or scene name field</t>
        </is>
      </c>
      <c r="F31" s="24" t="inlineStr">
        <is>
          <t>Dev mode on</t>
        </is>
      </c>
      <c r="G31" s="24" t="n"/>
      <c r="H31" s="24" t="inlineStr">
        <is>
          <t>src/dev/input.rs</t>
        </is>
      </c>
      <c r="I31" s="24" t="n"/>
    </row>
    <row r="32">
      <c r="A32" s="24" t="inlineStr">
        <is>
          <t>Dev Mode</t>
        </is>
      </c>
      <c r="B32" s="24" t="inlineStr">
        <is>
          <t>Core</t>
        </is>
      </c>
      <c r="C32" s="24" t="inlineStr">
        <is>
          <t>Tab</t>
        </is>
      </c>
      <c r="D32" s="24" t="n"/>
      <c r="E32" s="24" t="inlineStr">
        <is>
          <t>Cycle dev panel tabs</t>
        </is>
      </c>
      <c r="F32" s="24" t="inlineStr">
        <is>
          <t>Dev mode on; no text focus</t>
        </is>
      </c>
      <c r="G32" s="24" t="inlineStr">
        <is>
          <t>Text focus</t>
        </is>
      </c>
      <c r="H32" s="24" t="inlineStr">
        <is>
          <t>src/dev/input.rs</t>
        </is>
      </c>
      <c r="I32" s="24" t="inlineStr">
        <is>
          <t>Tab reused in blueprint variant draft</t>
        </is>
      </c>
    </row>
    <row r="33" ht="30" customHeight="1" s="36">
      <c r="A33" s="24" t="inlineStr">
        <is>
          <t>Dev Mode</t>
        </is>
      </c>
      <c r="B33" s="24" t="inlineStr">
        <is>
          <t>Core</t>
        </is>
      </c>
      <c r="C33" s="24" t="inlineStr">
        <is>
          <t>E</t>
        </is>
      </c>
      <c r="D33" s="24" t="n"/>
      <c r="E33" s="24" t="inlineStr">
        <is>
          <t>Toggle catalog enabled-only filter</t>
        </is>
      </c>
      <c r="F33" s="24" t="inlineStr">
        <is>
          <t>Dev mode on; no text focus; no transform target selected</t>
        </is>
      </c>
      <c r="G33" s="24" t="inlineStr">
        <is>
          <t>Text focus; gizmo transform target active</t>
        </is>
      </c>
      <c r="H33" s="24" t="inlineStr">
        <is>
          <t>src/dev/input.rs</t>
        </is>
      </c>
      <c r="I33" s="24" t="inlineStr">
        <is>
          <t>E also blueprint edit enter — building selected</t>
        </is>
      </c>
    </row>
    <row r="34" ht="30" customHeight="1" s="36">
      <c r="A34" s="24" t="inlineStr">
        <is>
          <t>Dev Mode</t>
        </is>
      </c>
      <c r="B34" s="24" t="inlineStr">
        <is>
          <t>Core</t>
        </is>
      </c>
      <c r="C34" s="24" t="inlineStr">
        <is>
          <t>T</t>
        </is>
      </c>
      <c r="D34" s="24" t="n"/>
      <c r="E34" s="24" t="inlineStr">
        <is>
          <t>Cycle spawn team (Player ↔ Wilds)</t>
        </is>
      </c>
      <c r="F34" s="24" t="inlineStr">
        <is>
          <t>Dev mode on; no text focus; not Items manage subtab</t>
        </is>
      </c>
      <c r="G34" s="24" t="inlineStr">
        <is>
          <t>Text focus; Items manage subtab</t>
        </is>
      </c>
      <c r="H34" s="24" t="inlineStr">
        <is>
          <t>src/dev/input.rs</t>
        </is>
      </c>
      <c r="I34" s="24" t="inlineStr">
        <is>
          <t>T reused Items manage endpoint cycle</t>
        </is>
      </c>
    </row>
    <row r="35" ht="30" customHeight="1" s="36">
      <c r="A35" s="24" t="inlineStr">
        <is>
          <t>Dev Mode</t>
        </is>
      </c>
      <c r="B35" s="24" t="inlineStr">
        <is>
          <t>Core</t>
        </is>
      </c>
      <c r="C35" s="24" t="inlineStr">
        <is>
          <t>F</t>
        </is>
      </c>
      <c r="D35" s="24" t="n"/>
      <c r="E35" s="24" t="inlineStr">
        <is>
          <t>Toggle favorite on selected catalog definition</t>
        </is>
      </c>
      <c r="F35" s="24" t="inlineStr">
        <is>
          <t>Dev mode on; no text focus</t>
        </is>
      </c>
      <c r="G35" s="24" t="inlineStr">
        <is>
          <t>Text focus (except F in search toggles favorite)</t>
        </is>
      </c>
      <c r="H35" s="24" t="inlineStr">
        <is>
          <t>src/dev/input.rs</t>
        </is>
      </c>
      <c r="I35" s="24" t="inlineStr">
        <is>
          <t>F reused in many dev harnesses</t>
        </is>
      </c>
    </row>
    <row r="36">
      <c r="A36" s="24" t="inlineStr">
        <is>
          <t>Dev Mode</t>
        </is>
      </c>
      <c r="B36" s="24" t="inlineStr">
        <is>
          <t>Core</t>
        </is>
      </c>
      <c r="C36" s="24" t="inlineStr">
        <is>
          <t>1–9</t>
        </is>
      </c>
      <c r="D36" s="24" t="n"/>
      <c r="E36" s="24" t="inlineStr">
        <is>
          <t>Recall favorite catalog slot</t>
        </is>
      </c>
      <c r="F36" s="24" t="inlineStr">
        <is>
          <t>Dev mode on; no text focus</t>
        </is>
      </c>
      <c r="G36" s="24" t="inlineStr">
        <is>
          <t>Text focus</t>
        </is>
      </c>
      <c r="H36" s="24" t="inlineStr">
        <is>
          <t>src/dev/input.rs</t>
        </is>
      </c>
      <c r="I36" s="24" t="inlineStr">
        <is>
          <t>1–9 reused blueprint diagnostics/tools</t>
        </is>
      </c>
    </row>
    <row r="37">
      <c r="A37" s="24" t="inlineStr">
        <is>
          <t>Dev Mode</t>
        </is>
      </c>
      <c r="B37" s="24" t="inlineStr">
        <is>
          <t>Core</t>
        </is>
      </c>
      <c r="C37" s="24" t="inlineStr">
        <is>
          <t>Ctrl+1–9</t>
        </is>
      </c>
      <c r="D37" s="24" t="inlineStr">
        <is>
          <t>Ctrl</t>
        </is>
      </c>
      <c r="E37" s="24" t="inlineStr">
        <is>
          <t>Assign favorite catalog slot</t>
        </is>
      </c>
      <c r="F37" s="24" t="inlineStr">
        <is>
          <t>Dev mode on; no text focus</t>
        </is>
      </c>
      <c r="G37" s="24" t="inlineStr">
        <is>
          <t>Text focus</t>
        </is>
      </c>
      <c r="H37" s="24" t="inlineStr">
        <is>
          <t>src/dev/input.rs</t>
        </is>
      </c>
      <c r="I37" s="24" t="n"/>
    </row>
    <row r="38" ht="30" customHeight="1" s="36">
      <c r="A38" s="24" t="inlineStr">
        <is>
          <t>Dev Mode</t>
        </is>
      </c>
      <c r="B38" s="24" t="inlineStr">
        <is>
          <t>Core</t>
        </is>
      </c>
      <c r="C38" s="24" t="inlineStr">
        <is>
          <t>Esc</t>
        </is>
      </c>
      <c r="D38" s="24" t="n"/>
      <c r="E38" s="24" t="inlineStr">
        <is>
          <t>Clear text focus; cancel placement tool</t>
        </is>
      </c>
      <c r="F38" s="24" t="inlineStr">
        <is>
          <t>Dev mode on</t>
        </is>
      </c>
      <c r="G38" s="24" t="n"/>
      <c r="H38" s="24" t="inlineStr">
        <is>
          <t>src/dev/input.rs</t>
        </is>
      </c>
      <c r="I38" s="24" t="inlineStr">
        <is>
          <t>Shared with gameplay/build/gizmo/blueprint</t>
        </is>
      </c>
    </row>
    <row r="39">
      <c r="A39" s="24" t="inlineStr">
        <is>
          <t>Dev Mode</t>
        </is>
      </c>
      <c r="B39" s="24" t="inlineStr">
        <is>
          <t>Core</t>
        </is>
      </c>
      <c r="C39" s="24" t="inlineStr">
        <is>
          <t>Enter</t>
        </is>
      </c>
      <c r="D39" s="24" t="n"/>
      <c r="E39" s="24" t="inlineStr">
        <is>
          <t>Exit dev text focus (search, scene name, qty)</t>
        </is>
      </c>
      <c r="F39" s="24" t="inlineStr">
        <is>
          <t>Text field focused</t>
        </is>
      </c>
      <c r="G39" s="24" t="n"/>
      <c r="H39" s="24" t="inlineStr">
        <is>
          <t>src/dev/input.rs</t>
        </is>
      </c>
      <c r="I39" s="24" t="n"/>
    </row>
    <row r="40">
      <c r="A40" s="24" t="inlineStr">
        <is>
          <t>Dev Mode</t>
        </is>
      </c>
      <c r="B40" s="24" t="inlineStr">
        <is>
          <t>Placement</t>
        </is>
      </c>
      <c r="C40" s="24" t="inlineStr">
        <is>
          <t>Left click</t>
        </is>
      </c>
      <c r="D40" s="24" t="inlineStr">
        <is>
          <t>Mouse</t>
        </is>
      </c>
      <c r="E40" s="24" t="inlineStr">
        <is>
          <t>Spawn at terrain / place dev object</t>
        </is>
      </c>
      <c r="F40" s="24" t="inlineStr">
        <is>
          <t>Definition selected; not over panel</t>
        </is>
      </c>
      <c r="G40" s="24" t="inlineStr">
        <is>
          <t>Panel hovered</t>
        </is>
      </c>
      <c r="H40" s="24" t="inlineStr">
        <is>
          <t>src/dev/input.rs</t>
        </is>
      </c>
      <c r="I40" s="24" t="n"/>
    </row>
    <row r="41">
      <c r="A41" s="24" t="inlineStr">
        <is>
          <t>Dev Mode</t>
        </is>
      </c>
      <c r="B41" s="24" t="inlineStr">
        <is>
          <t>Placement</t>
        </is>
      </c>
      <c r="C41" s="24" t="inlineStr">
        <is>
          <t>Shift+Left click</t>
        </is>
      </c>
      <c r="D41" s="24" t="inlineStr">
        <is>
          <t>Shift</t>
        </is>
      </c>
      <c r="E41" s="24" t="inlineStr">
        <is>
          <t>Larger batch spawn count</t>
        </is>
      </c>
      <c r="F41" s="24" t="inlineStr">
        <is>
          <t>Placement active</t>
        </is>
      </c>
      <c r="G41" s="24" t="n"/>
      <c r="H41" s="24" t="inlineStr">
        <is>
          <t>src/dev/input.rs</t>
        </is>
      </c>
      <c r="I41" s="24" t="n"/>
    </row>
    <row r="42">
      <c r="A42" s="24" t="inlineStr">
        <is>
          <t>Dev Mode</t>
        </is>
      </c>
      <c r="B42" s="24" t="inlineStr">
        <is>
          <t>Placement</t>
        </is>
      </c>
      <c r="C42" s="24" t="inlineStr">
        <is>
          <t>Ctrl+Left click</t>
        </is>
      </c>
      <c r="D42" s="24" t="inlineStr">
        <is>
          <t>Ctrl</t>
        </is>
      </c>
      <c r="E42" s="24" t="inlineStr">
        <is>
          <t>Repeat last spawn</t>
        </is>
      </c>
      <c r="F42" s="24" t="inlineStr">
        <is>
          <t>Placement active</t>
        </is>
      </c>
      <c r="G42" s="24" t="n"/>
      <c r="H42" s="24" t="inlineStr">
        <is>
          <t>src/dev/input.rs</t>
        </is>
      </c>
      <c r="I42" s="24" t="n"/>
    </row>
    <row r="43">
      <c r="A43" s="24" t="inlineStr">
        <is>
          <t>Dev Mode</t>
        </is>
      </c>
      <c r="B43" s="24" t="inlineStr">
        <is>
          <t>Placement</t>
        </is>
      </c>
      <c r="C43" s="24" t="inlineStr">
        <is>
          <t>Right click</t>
        </is>
      </c>
      <c r="D43" s="24" t="inlineStr">
        <is>
          <t>Mouse</t>
        </is>
      </c>
      <c r="E43" s="24" t="inlineStr">
        <is>
          <t>Cancel placement tool</t>
        </is>
      </c>
      <c r="F43" s="24" t="inlineStr">
        <is>
          <t>Placement armed; not over panel</t>
        </is>
      </c>
      <c r="G43" s="24" t="n"/>
      <c r="H43" s="24" t="inlineStr">
        <is>
          <t>src/dev/input.rs</t>
        </is>
      </c>
      <c r="I43" s="24" t="n"/>
    </row>
    <row r="44" ht="30" customHeight="1" s="36">
      <c r="A44" s="24" t="inlineStr">
        <is>
          <t>Dev Mode</t>
        </is>
      </c>
      <c r="B44" s="24" t="inlineStr">
        <is>
          <t>Inspector Pick</t>
        </is>
      </c>
      <c r="C44" s="24" t="inlineStr">
        <is>
          <t>Left click</t>
        </is>
      </c>
      <c r="D44" s="24" t="inlineStr">
        <is>
          <t>Mouse</t>
        </is>
      </c>
      <c r="E44" s="24" t="inlineStr">
        <is>
          <t>Select unit / doodad / building / pile for inspection</t>
        </is>
      </c>
      <c r="F44" s="24" t="inlineStr">
        <is>
          <t>Dev mode or Alt; not gizmo dragging</t>
        </is>
      </c>
      <c r="G44" s="24" t="inlineStr">
        <is>
          <t>Panel hovered; blueprint edit active</t>
        </is>
      </c>
      <c r="H44" s="24" t="inlineStr">
        <is>
          <t>src/dev/inspector/input.rs</t>
        </is>
      </c>
      <c r="I44" s="24" t="n"/>
    </row>
    <row r="45" ht="30" customHeight="1" s="36">
      <c r="A45" s="24" t="inlineStr">
        <is>
          <t>Dev Mode</t>
        </is>
      </c>
      <c r="B45" s="24" t="inlineStr">
        <is>
          <t>Transform Gizmo</t>
        </is>
      </c>
      <c r="C45" s="24" t="inlineStr">
        <is>
          <t>,</t>
        </is>
      </c>
      <c r="D45" s="24" t="n"/>
      <c r="E45" s="24" t="inlineStr">
        <is>
          <t>Translate gizmo mode</t>
        </is>
      </c>
      <c r="F45" s="24" t="inlineStr">
        <is>
          <t>Doodad or building selected; dev on; no text focus</t>
        </is>
      </c>
      <c r="G45" s="24" t="inlineStr">
        <is>
          <t>Text focus</t>
        </is>
      </c>
      <c r="H45" s="24" t="inlineStr">
        <is>
          <t>src/dev/gizmo/input.rs</t>
        </is>
      </c>
      <c r="I45" s="24" t="inlineStr">
        <is>
          <t>, also toggles building production enable</t>
        </is>
      </c>
    </row>
    <row r="46" ht="30" customHeight="1" s="36">
      <c r="A46" s="24" t="inlineStr">
        <is>
          <t>Dev Mode</t>
        </is>
      </c>
      <c r="B46" s="24" t="inlineStr">
        <is>
          <t>Transform Gizmo</t>
        </is>
      </c>
      <c r="C46" s="24" t="inlineStr">
        <is>
          <t>.</t>
        </is>
      </c>
      <c r="D46" s="24" t="n"/>
      <c r="E46" s="24" t="inlineStr">
        <is>
          <t>Rotate gizmo mode</t>
        </is>
      </c>
      <c r="F46" s="24" t="inlineStr">
        <is>
          <t>Transform target selected</t>
        </is>
      </c>
      <c r="G46" s="24" t="inlineStr">
        <is>
          <t>Text focus</t>
        </is>
      </c>
      <c r="H46" s="24" t="inlineStr">
        <is>
          <t>src/dev/gizmo/input.rs</t>
        </is>
      </c>
      <c r="I46" s="24" t="inlineStr">
        <is>
          <t>. also toggles building production pause</t>
        </is>
      </c>
    </row>
    <row r="47" ht="30" customHeight="1" s="36">
      <c r="A47" s="24" t="inlineStr">
        <is>
          <t>Dev Mode</t>
        </is>
      </c>
      <c r="B47" s="24" t="inlineStr">
        <is>
          <t>Transform Gizmo</t>
        </is>
      </c>
      <c r="C47" s="24" t="inlineStr">
        <is>
          <t>/</t>
        </is>
      </c>
      <c r="D47" s="24" t="n"/>
      <c r="E47" s="24" t="inlineStr">
        <is>
          <t>Scale gizmo mode</t>
        </is>
      </c>
      <c r="F47" s="24" t="inlineStr">
        <is>
          <t>Transform target selected</t>
        </is>
      </c>
      <c r="G47" s="24" t="inlineStr">
        <is>
          <t>Text focus</t>
        </is>
      </c>
      <c r="H47" s="24" t="inlineStr">
        <is>
          <t>src/dev/gizmo/input.rs</t>
        </is>
      </c>
      <c r="I47" s="24" t="inlineStr">
        <is>
          <t>Scale only — not catalog search or repeat mode</t>
        </is>
      </c>
    </row>
    <row r="48">
      <c r="A48" s="24" t="inlineStr">
        <is>
          <t>Dev Mode</t>
        </is>
      </c>
      <c r="B48" s="24" t="inlineStr">
        <is>
          <t>Transform Gizmo</t>
        </is>
      </c>
      <c r="C48" s="24" t="inlineStr">
        <is>
          <t>L</t>
        </is>
      </c>
      <c r="D48" s="24" t="n"/>
      <c r="E48" s="24" t="inlineStr">
        <is>
          <t>Toggle world/local coordinate space</t>
        </is>
      </c>
      <c r="F48" s="24" t="inlineStr">
        <is>
          <t>Gizmo dragging</t>
        </is>
      </c>
      <c r="G48" s="24" t="n"/>
      <c r="H48" s="24" t="inlineStr">
        <is>
          <t>src/dev/gizmo/input.rs</t>
        </is>
      </c>
      <c r="I48" s="24" t="inlineStr">
        <is>
          <t>L reused building door lock</t>
        </is>
      </c>
    </row>
    <row r="49">
      <c r="A49" s="24" t="inlineStr">
        <is>
          <t>Dev Mode</t>
        </is>
      </c>
      <c r="B49" s="24" t="inlineStr">
        <is>
          <t>Transform Gizmo</t>
        </is>
      </c>
      <c r="C49" s="24" t="inlineStr">
        <is>
          <t>X / Y / Z</t>
        </is>
      </c>
      <c r="D49" s="24" t="n"/>
      <c r="E49" s="24" t="inlineStr">
        <is>
          <t>Axis constraint while dragging</t>
        </is>
      </c>
      <c r="F49" s="24" t="inlineStr">
        <is>
          <t>Gizmo drag active</t>
        </is>
      </c>
      <c r="G49" s="24" t="n"/>
      <c r="H49" s="24" t="inlineStr">
        <is>
          <t>src/dev/gizmo/input.rs</t>
        </is>
      </c>
      <c r="I49" s="24" t="inlineStr">
        <is>
          <t>X also building destroy in inspector</t>
        </is>
      </c>
    </row>
    <row r="50">
      <c r="A50" s="24" t="inlineStr">
        <is>
          <t>Dev Mode</t>
        </is>
      </c>
      <c r="B50" s="24" t="inlineStr">
        <is>
          <t>Transform Gizmo</t>
        </is>
      </c>
      <c r="C50" s="24" t="inlineStr">
        <is>
          <t>Esc</t>
        </is>
      </c>
      <c r="D50" s="24" t="n"/>
      <c r="E50" s="24" t="inlineStr">
        <is>
          <t>Cancel gizmo drag or exit transform mode</t>
        </is>
      </c>
      <c r="F50" s="24" t="inlineStr">
        <is>
          <t>Gizmo active</t>
        </is>
      </c>
      <c r="G50" s="24" t="n"/>
      <c r="H50" s="24" t="inlineStr">
        <is>
          <t>src/dev/gizmo/input.rs</t>
        </is>
      </c>
      <c r="I50" s="24" t="n"/>
    </row>
    <row r="51">
      <c r="A51" s="24" t="inlineStr">
        <is>
          <t>Dev Mode</t>
        </is>
      </c>
      <c r="B51" s="24" t="inlineStr">
        <is>
          <t>Transform Gizmo</t>
        </is>
      </c>
      <c r="C51" s="24" t="inlineStr">
        <is>
          <t>G (hold)</t>
        </is>
      </c>
      <c r="D51" s="24" t="inlineStr">
        <is>
          <t>Hold</t>
        </is>
      </c>
      <c r="E51" s="24" t="inlineStr">
        <is>
          <t>Follow ground on commit</t>
        </is>
      </c>
      <c r="F51" s="24" t="inlineStr">
        <is>
          <t>Committing transform</t>
        </is>
      </c>
      <c r="G51" s="24" t="n"/>
      <c r="H51" s="24" t="inlineStr">
        <is>
          <t>src/dev/gizmo/commit.rs</t>
        </is>
      </c>
      <c r="I51" s="24" t="inlineStr">
        <is>
          <t>G reused many dev actions</t>
        </is>
      </c>
    </row>
    <row r="52" ht="30" customHeight="1" s="36">
      <c r="A52" s="24" t="inlineStr">
        <is>
          <t>Dev Mode</t>
        </is>
      </c>
      <c r="B52" s="24" t="inlineStr">
        <is>
          <t>Transform Gizmo</t>
        </is>
      </c>
      <c r="C52" s="24" t="inlineStr">
        <is>
          <t>O (hold)</t>
        </is>
      </c>
      <c r="D52" s="24" t="inlineStr">
        <is>
          <t>Hold</t>
        </is>
      </c>
      <c r="E52" s="24" t="inlineStr">
        <is>
          <t>Allow overlap on commit</t>
        </is>
      </c>
      <c r="F52" s="24" t="inlineStr">
        <is>
          <t>Committing doodad/building transform</t>
        </is>
      </c>
      <c r="G52" s="24" t="n"/>
      <c r="H52" s="24" t="inlineStr">
        <is>
          <t>src/dev/gizmo/commit.rs</t>
        </is>
      </c>
      <c r="I52" s="24" t="n"/>
    </row>
    <row r="53" ht="30" customHeight="1" s="36">
      <c r="A53" s="24" t="inlineStr">
        <is>
          <t>Dev Mode</t>
        </is>
      </c>
      <c r="B53" s="24" t="inlineStr">
        <is>
          <t>Transform Gizmo</t>
        </is>
      </c>
      <c r="C53" s="24" t="inlineStr">
        <is>
          <t>C (hold)</t>
        </is>
      </c>
      <c r="D53" s="24" t="inlineStr">
        <is>
          <t>Hold</t>
        </is>
      </c>
      <c r="E53" s="24" t="inlineStr">
        <is>
          <t>Cancel building task dependencies on commit</t>
        </is>
      </c>
      <c r="F53" s="24" t="inlineStr">
        <is>
          <t>Building gizmo commit</t>
        </is>
      </c>
      <c r="G53" s="24" t="n"/>
      <c r="H53" s="24" t="inlineStr">
        <is>
          <t>src/dev/gizmo/commit.rs</t>
        </is>
      </c>
      <c r="I53" s="24" t="n"/>
    </row>
    <row r="54" ht="30" customHeight="1" s="36">
      <c r="A54" s="24" t="inlineStr">
        <is>
          <t>Dev Mode</t>
        </is>
      </c>
      <c r="B54" s="24" t="inlineStr">
        <is>
          <t>Inspector — Doodad</t>
        </is>
      </c>
      <c r="C54" s="24" t="inlineStr">
        <is>
          <t>Arrow keys</t>
        </is>
      </c>
      <c r="D54" s="24" t="n"/>
      <c r="E54" s="24" t="inlineStr">
        <is>
          <t>Move doodad X/Z</t>
        </is>
      </c>
      <c r="F54" s="24" t="inlineStr">
        <is>
          <t>Doodad selected; dev inspector shortcuts</t>
        </is>
      </c>
      <c r="G54" s="24" t="inlineStr">
        <is>
          <t>Text focus</t>
        </is>
      </c>
      <c r="H54" s="24" t="inlineStr">
        <is>
          <t>src/dev/inspector/doodad_actions.rs</t>
        </is>
      </c>
      <c r="I54" s="24" t="n"/>
    </row>
    <row r="55" ht="30" customHeight="1" s="36">
      <c r="A55" s="24" t="inlineStr">
        <is>
          <t>Dev Mode</t>
        </is>
      </c>
      <c r="B55" s="24" t="inlineStr">
        <is>
          <t>Inspector — Doodad</t>
        </is>
      </c>
      <c r="C55" s="24" t="inlineStr">
        <is>
          <t>Page Up / Down</t>
        </is>
      </c>
      <c r="D55" s="24" t="n"/>
      <c r="E55" s="24" t="inlineStr">
        <is>
          <t>Move doodad Y</t>
        </is>
      </c>
      <c r="F55" s="24" t="inlineStr">
        <is>
          <t>Doodad selected</t>
        </is>
      </c>
      <c r="G55" s="24" t="n"/>
      <c r="H55" s="24" t="inlineStr">
        <is>
          <t>src/dev/inspector/doodad_actions.rs</t>
        </is>
      </c>
      <c r="I55" s="24" t="n"/>
    </row>
    <row r="56" ht="30" customHeight="1" s="36">
      <c r="A56" s="24" t="inlineStr">
        <is>
          <t>Dev Mode</t>
        </is>
      </c>
      <c r="B56" s="24" t="inlineStr">
        <is>
          <t>Inspector — Doodad</t>
        </is>
      </c>
      <c r="C56" s="24" t="inlineStr">
        <is>
          <t>[ / ]</t>
        </is>
      </c>
      <c r="D56" s="24" t="n"/>
      <c r="E56" s="24" t="inlineStr">
        <is>
          <t>Adjust doodad yaw ±5°</t>
        </is>
      </c>
      <c r="F56" s="24" t="inlineStr">
        <is>
          <t>Doodad selected</t>
        </is>
      </c>
      <c r="G56" s="24" t="n"/>
      <c r="H56" s="24" t="inlineStr">
        <is>
          <t>src/dev/inspector/doodad_actions.rs</t>
        </is>
      </c>
      <c r="I56" s="24" t="inlineStr">
        <is>
          <t>Bracket keys reused elsewhere</t>
        </is>
      </c>
    </row>
    <row r="57" ht="30" customHeight="1" s="36">
      <c r="A57" s="24" t="inlineStr">
        <is>
          <t>Dev Mode</t>
        </is>
      </c>
      <c r="B57" s="24" t="inlineStr">
        <is>
          <t>Inspector — Doodad</t>
        </is>
      </c>
      <c r="C57" s="24" t="inlineStr">
        <is>
          <t>G (hold)</t>
        </is>
      </c>
      <c r="D57" s="24" t="inlineStr">
        <is>
          <t>Hold</t>
        </is>
      </c>
      <c r="E57" s="24" t="inlineStr">
        <is>
          <t>Follow ground on transform</t>
        </is>
      </c>
      <c r="F57" s="24" t="inlineStr">
        <is>
          <t>While applying doodad edit</t>
        </is>
      </c>
      <c r="G57" s="24" t="n"/>
      <c r="H57" s="24" t="inlineStr">
        <is>
          <t>src/dev/inspector/doodad_actions.rs</t>
        </is>
      </c>
      <c r="I57" s="24" t="n"/>
    </row>
    <row r="58" ht="30" customHeight="1" s="36">
      <c r="A58" s="24" t="inlineStr">
        <is>
          <t>Dev Mode</t>
        </is>
      </c>
      <c r="B58" s="24" t="inlineStr">
        <is>
          <t>Inspector — Doodad</t>
        </is>
      </c>
      <c r="C58" s="24" t="inlineStr">
        <is>
          <t>O (hold)</t>
        </is>
      </c>
      <c r="D58" s="24" t="inlineStr">
        <is>
          <t>Hold</t>
        </is>
      </c>
      <c r="E58" s="24" t="inlineStr">
        <is>
          <t>Allow overlapping occupancy</t>
        </is>
      </c>
      <c r="F58" s="24" t="inlineStr">
        <is>
          <t>While applying doodad edit</t>
        </is>
      </c>
      <c r="G58" s="24" t="n"/>
      <c r="H58" s="24" t="inlineStr">
        <is>
          <t>src/dev/inspector/doodad_actions.rs</t>
        </is>
      </c>
      <c r="I58" s="24" t="n"/>
    </row>
    <row r="59" ht="30" customHeight="1" s="36">
      <c r="A59" s="24" t="inlineStr">
        <is>
          <t>Dev Mode</t>
        </is>
      </c>
      <c r="B59" s="24" t="inlineStr">
        <is>
          <t>Inspector — Building</t>
        </is>
      </c>
      <c r="C59" s="24" t="inlineStr">
        <is>
          <t>D</t>
        </is>
      </c>
      <c r="D59" s="24" t="n"/>
      <c r="E59" s="24" t="inlineStr">
        <is>
          <t>Damage building (−50)</t>
        </is>
      </c>
      <c r="F59" s="24" t="inlineStr">
        <is>
          <t>Building selected; dev inspector actions</t>
        </is>
      </c>
      <c r="G59" s="24" t="inlineStr">
        <is>
          <t>Text focus</t>
        </is>
      </c>
      <c r="H59" s="24" t="inlineStr">
        <is>
          <t>src/dev/inspector/building_actions.rs</t>
        </is>
      </c>
      <c r="I59" s="24" t="n"/>
    </row>
    <row r="60" ht="30" customHeight="1" s="36">
      <c r="A60" s="24" t="inlineStr">
        <is>
          <t>Dev Mode</t>
        </is>
      </c>
      <c r="B60" s="24" t="inlineStr">
        <is>
          <t>Inspector — Building</t>
        </is>
      </c>
      <c r="C60" s="24" t="inlineStr">
        <is>
          <t>H</t>
        </is>
      </c>
      <c r="D60" s="24" t="n"/>
      <c r="E60" s="24" t="inlineStr">
        <is>
          <t>Heal building (+50)</t>
        </is>
      </c>
      <c r="F60" s="24" t="inlineStr">
        <is>
          <t>Building selected</t>
        </is>
      </c>
      <c r="G60" s="24" t="n"/>
      <c r="H60" s="24" t="inlineStr">
        <is>
          <t>src/dev/inspector/building_actions.rs</t>
        </is>
      </c>
      <c r="I60" s="24" t="inlineStr">
        <is>
          <t>H reused Items subtab</t>
        </is>
      </c>
    </row>
    <row r="61" ht="30" customHeight="1" s="36">
      <c r="A61" s="24" t="inlineStr">
        <is>
          <t>Dev Mode</t>
        </is>
      </c>
      <c r="B61" s="24" t="inlineStr">
        <is>
          <t>Inspector — Building</t>
        </is>
      </c>
      <c r="C61" s="24" t="inlineStr">
        <is>
          <t>X</t>
        </is>
      </c>
      <c r="D61" s="24" t="n"/>
      <c r="E61" s="24" t="inlineStr">
        <is>
          <t>Destroy building</t>
        </is>
      </c>
      <c r="F61" s="24" t="inlineStr">
        <is>
          <t>Building selected</t>
        </is>
      </c>
      <c r="G61" s="24" t="n"/>
      <c r="H61" s="24" t="inlineStr">
        <is>
          <t>src/dev/inspector/building_actions.rs</t>
        </is>
      </c>
      <c r="I61" s="24" t="n"/>
    </row>
    <row r="62" ht="30" customHeight="1" s="36">
      <c r="A62" s="24" t="inlineStr">
        <is>
          <t>Dev Mode</t>
        </is>
      </c>
      <c r="B62" s="24" t="inlineStr">
        <is>
          <t>Inspector — Building</t>
        </is>
      </c>
      <c r="C62" s="24" t="inlineStr">
        <is>
          <t>R</t>
        </is>
      </c>
      <c r="D62" s="24" t="n"/>
      <c r="E62" s="24" t="inlineStr">
        <is>
          <t>Set building to ruins</t>
        </is>
      </c>
      <c r="F62" s="24" t="inlineStr">
        <is>
          <t>Building selected</t>
        </is>
      </c>
      <c r="G62" s="24" t="n"/>
      <c r="H62" s="24" t="inlineStr">
        <is>
          <t>src/dev/inspector/building_actions.rs</t>
        </is>
      </c>
      <c r="I62" s="24" t="inlineStr">
        <is>
          <t>Conflicts with build-mode rotate when both active</t>
        </is>
      </c>
    </row>
    <row r="63" ht="30" customHeight="1" s="36">
      <c r="A63" s="24" t="inlineStr">
        <is>
          <t>Dev Mode</t>
        </is>
      </c>
      <c r="B63" s="24" t="inlineStr">
        <is>
          <t>Inspector — Building</t>
        </is>
      </c>
      <c r="C63" s="24" t="inlineStr">
        <is>
          <t>C</t>
        </is>
      </c>
      <c r="D63" s="24" t="n"/>
      <c r="E63" s="24" t="inlineStr">
        <is>
          <t>Complete building (lifecycle)</t>
        </is>
      </c>
      <c r="F63" s="24" t="inlineStr">
        <is>
          <t>Building selected</t>
        </is>
      </c>
      <c r="G63" s="24" t="n"/>
      <c r="H63" s="24" t="inlineStr">
        <is>
          <t>src/dev/inspector/building_actions.rs</t>
        </is>
      </c>
      <c r="I63" s="24" t="n"/>
    </row>
    <row r="64" ht="30" customHeight="1" s="36">
      <c r="A64" s="24" t="inlineStr">
        <is>
          <t>Dev Mode</t>
        </is>
      </c>
      <c r="B64" s="24" t="inlineStr">
        <is>
          <t>Inspector — Building</t>
        </is>
      </c>
      <c r="C64" s="24" t="inlineStr">
        <is>
          <t>P</t>
        </is>
      </c>
      <c r="D64" s="24" t="n"/>
      <c r="E64" s="24" t="inlineStr">
        <is>
          <t>Add 10% construction progress</t>
        </is>
      </c>
      <c r="F64" s="24" t="inlineStr">
        <is>
          <t>Building selected</t>
        </is>
      </c>
      <c r="G64" s="24" t="n"/>
      <c r="H64" s="24" t="inlineStr">
        <is>
          <t>src/dev/inspector/building_actions.rs</t>
        </is>
      </c>
      <c r="I64" s="24" t="inlineStr">
        <is>
          <t>P reused Items profiles subtab</t>
        </is>
      </c>
    </row>
    <row r="65" ht="30" customHeight="1" s="36">
      <c r="A65" s="24" t="inlineStr">
        <is>
          <t>Dev Mode</t>
        </is>
      </c>
      <c r="B65" s="24" t="inlineStr">
        <is>
          <t>Inspector — Building</t>
        </is>
      </c>
      <c r="C65" s="24" t="inlineStr">
        <is>
          <t>Shift+P</t>
        </is>
      </c>
      <c r="D65" s="24" t="inlineStr">
        <is>
          <t>Shift</t>
        </is>
      </c>
      <c r="E65" s="24" t="inlineStr">
        <is>
          <t>Force settlement production replan</t>
        </is>
      </c>
      <c r="F65" s="24" t="inlineStr">
        <is>
          <t>Building linked to settlement</t>
        </is>
      </c>
      <c r="G65" s="24" t="n"/>
      <c r="H65" s="24" t="inlineStr">
        <is>
          <t>src/dev/inspector/building_actions.rs</t>
        </is>
      </c>
      <c r="I65" s="24" t="n"/>
    </row>
    <row r="66" ht="30" customHeight="1" s="36">
      <c r="A66" s="24" t="inlineStr">
        <is>
          <t>Dev Mode</t>
        </is>
      </c>
      <c r="B66" s="24" t="inlineStr">
        <is>
          <t>Inspector — Building</t>
        </is>
      </c>
      <c r="C66" s="24" t="inlineStr">
        <is>
          <t>O</t>
        </is>
      </c>
      <c r="D66" s="24" t="n"/>
      <c r="E66" s="24" t="inlineStr">
        <is>
          <t>Open first building door</t>
        </is>
      </c>
      <c r="F66" s="24" t="inlineStr">
        <is>
          <t>Building selected</t>
        </is>
      </c>
      <c r="G66" s="24" t="n"/>
      <c r="H66" s="24" t="inlineStr">
        <is>
          <t>src/dev/inspector/building_actions.rs</t>
        </is>
      </c>
      <c r="I66" s="24" t="n"/>
    </row>
    <row r="67" ht="30" customHeight="1" s="36">
      <c r="A67" s="24" t="inlineStr">
        <is>
          <t>Dev Mode</t>
        </is>
      </c>
      <c r="B67" s="24" t="inlineStr">
        <is>
          <t>Inspector — Building</t>
        </is>
      </c>
      <c r="C67" s="24" t="inlineStr">
        <is>
          <t>L</t>
        </is>
      </c>
      <c r="D67" s="24" t="n"/>
      <c r="E67" s="24" t="inlineStr">
        <is>
          <t>Lock first building door</t>
        </is>
      </c>
      <c r="F67" s="24" t="inlineStr">
        <is>
          <t>Building selected</t>
        </is>
      </c>
      <c r="G67" s="24" t="n"/>
      <c r="H67" s="24" t="inlineStr">
        <is>
          <t>src/dev/inspector/building_actions.rs</t>
        </is>
      </c>
      <c r="I67" s="24" t="n"/>
    </row>
    <row r="68" ht="30" customHeight="1" s="36">
      <c r="A68" s="24" t="inlineStr">
        <is>
          <t>Dev Mode</t>
        </is>
      </c>
      <c r="B68" s="24" t="inlineStr">
        <is>
          <t>Inspector — Building</t>
        </is>
      </c>
      <c r="C68" s="24" t="inlineStr">
        <is>
          <t>I</t>
        </is>
      </c>
      <c r="D68" s="24" t="n"/>
      <c r="E68" s="24" t="inlineStr">
        <is>
          <t>Log building inventory summary</t>
        </is>
      </c>
      <c r="F68" s="24" t="inlineStr">
        <is>
          <t>Building selected</t>
        </is>
      </c>
      <c r="G68" s="24" t="n"/>
      <c r="H68" s="24" t="inlineStr">
        <is>
          <t>src/dev/inspector/building_actions.rs</t>
        </is>
      </c>
      <c r="I68" s="24" t="inlineStr">
        <is>
          <t>Conflicts with gameplay inventory I</t>
        </is>
      </c>
    </row>
    <row r="69" ht="30" customHeight="1" s="36">
      <c r="A69" s="24" t="inlineStr">
        <is>
          <t>Dev Mode</t>
        </is>
      </c>
      <c r="B69" s="24" t="inlineStr">
        <is>
          <t>Inspector — Building</t>
        </is>
      </c>
      <c r="C69" s="24" t="inlineStr">
        <is>
          <t>G</t>
        </is>
      </c>
      <c r="D69" s="24" t="n"/>
      <c r="E69" s="24" t="inlineStr">
        <is>
          <t>Add 5 gold to building inventory</t>
        </is>
      </c>
      <c r="F69" s="24" t="inlineStr">
        <is>
          <t>Building selected</t>
        </is>
      </c>
      <c r="G69" s="24" t="n"/>
      <c r="H69" s="24" t="inlineStr">
        <is>
          <t>src/dev/inspector/building_actions.rs</t>
        </is>
      </c>
      <c r="I69" s="24" t="n"/>
    </row>
    <row r="70" ht="30" customHeight="1" s="36">
      <c r="A70" s="24" t="inlineStr">
        <is>
          <t>Dev Mode</t>
        </is>
      </c>
      <c r="B70" s="24" t="inlineStr">
        <is>
          <t>Inspector — Building</t>
        </is>
      </c>
      <c r="C70" s="24" t="inlineStr">
        <is>
          <t>T</t>
        </is>
      </c>
      <c r="D70" s="24" t="n"/>
      <c r="E70" s="24" t="inlineStr">
        <is>
          <t>Transfer item between selected unit and building</t>
        </is>
      </c>
      <c r="F70" s="24" t="inlineStr">
        <is>
          <t>Unit + building with inventories</t>
        </is>
      </c>
      <c r="G70" s="24" t="n"/>
      <c r="H70" s="24" t="inlineStr">
        <is>
          <t>src/dev/inspector/building_actions.rs</t>
        </is>
      </c>
      <c r="I70" s="24" t="n"/>
    </row>
    <row r="71" ht="30" customHeight="1" s="36">
      <c r="A71" s="24" t="inlineStr">
        <is>
          <t>Dev Mode</t>
        </is>
      </c>
      <c r="B71" s="24" t="inlineStr">
        <is>
          <t>Inspector — Building</t>
        </is>
      </c>
      <c r="C71" s="24" t="inlineStr">
        <is>
          <t>U</t>
        </is>
      </c>
      <c r="D71" s="24" t="n"/>
      <c r="E71" s="24" t="inlineStr">
        <is>
          <t>Toggle building container locked</t>
        </is>
      </c>
      <c r="F71" s="24" t="inlineStr">
        <is>
          <t>Building selected</t>
        </is>
      </c>
      <c r="G71" s="24" t="n"/>
      <c r="H71" s="24" t="inlineStr">
        <is>
          <t>src/dev/inspector/building_actions.rs</t>
        </is>
      </c>
      <c r="I71" s="24" t="n"/>
    </row>
    <row r="72" ht="30" customHeight="1" s="36">
      <c r="A72" s="24" t="inlineStr">
        <is>
          <t>Dev Mode</t>
        </is>
      </c>
      <c r="B72" s="24" t="inlineStr">
        <is>
          <t>Inspector — Building</t>
        </is>
      </c>
      <c r="C72" s="24" t="inlineStr">
        <is>
          <t>V</t>
        </is>
      </c>
      <c r="D72" s="24" t="n"/>
      <c r="E72" s="24" t="inlineStr">
        <is>
          <t>Validate building inventory links</t>
        </is>
      </c>
      <c r="F72" s="24" t="inlineStr">
        <is>
          <t>Building selected</t>
        </is>
      </c>
      <c r="G72" s="24" t="n"/>
      <c r="H72" s="24" t="inlineStr">
        <is>
          <t>src/dev/inspector/building_actions.rs</t>
        </is>
      </c>
      <c r="I72" s="24" t="n"/>
    </row>
    <row r="73" ht="30" customHeight="1" s="36">
      <c r="A73" s="24" t="inlineStr">
        <is>
          <t>Dev Mode</t>
        </is>
      </c>
      <c r="B73" s="24" t="inlineStr">
        <is>
          <t>Inspector — Building</t>
        </is>
      </c>
      <c r="C73" s="24" t="inlineStr">
        <is>
          <t>F</t>
        </is>
      </c>
      <c r="D73" s="24" t="n"/>
      <c r="E73" s="24" t="inlineStr">
        <is>
          <t>Refresh building terrain assessment</t>
        </is>
      </c>
      <c r="F73" s="24" t="inlineStr">
        <is>
          <t>Building selected</t>
        </is>
      </c>
      <c r="G73" s="24" t="n"/>
      <c r="H73" s="24" t="inlineStr">
        <is>
          <t>src/dev/inspector/building_actions.rs</t>
        </is>
      </c>
      <c r="I73" s="24" t="n"/>
    </row>
    <row r="74" ht="30" customHeight="1" s="36">
      <c r="A74" s="24" t="inlineStr">
        <is>
          <t>Dev Mode</t>
        </is>
      </c>
      <c r="B74" s="24" t="inlineStr">
        <is>
          <t>Inspector — Building</t>
        </is>
      </c>
      <c r="C74" s="24" t="inlineStr">
        <is>
          <t>,</t>
        </is>
      </c>
      <c r="D74" s="24" t="n"/>
      <c r="E74" s="24" t="inlineStr">
        <is>
          <t>Toggle production enabled</t>
        </is>
      </c>
      <c r="F74" s="24" t="inlineStr">
        <is>
          <t>Building selected</t>
        </is>
      </c>
      <c r="G74" s="24" t="n"/>
      <c r="H74" s="24" t="inlineStr">
        <is>
          <t>src/dev/inspector/building_actions.rs</t>
        </is>
      </c>
      <c r="I74" s="24" t="inlineStr">
        <is>
          <t>Conflicts with gizmo translate</t>
        </is>
      </c>
    </row>
    <row r="75" ht="30" customHeight="1" s="36">
      <c r="A75" s="24" t="inlineStr">
        <is>
          <t>Dev Mode</t>
        </is>
      </c>
      <c r="B75" s="24" t="inlineStr">
        <is>
          <t>Inspector — Building</t>
        </is>
      </c>
      <c r="C75" s="24" t="inlineStr">
        <is>
          <t>.</t>
        </is>
      </c>
      <c r="D75" s="24" t="n"/>
      <c r="E75" s="24" t="inlineStr">
        <is>
          <t>Toggle production paused</t>
        </is>
      </c>
      <c r="F75" s="24" t="inlineStr">
        <is>
          <t>Building selected</t>
        </is>
      </c>
      <c r="G75" s="24" t="n"/>
      <c r="H75" s="24" t="inlineStr">
        <is>
          <t>src/dev/inspector/building_actions.rs</t>
        </is>
      </c>
      <c r="I75" s="24" t="inlineStr">
        <is>
          <t>Conflicts with gizmo rotate</t>
        </is>
      </c>
    </row>
    <row r="76" ht="30" customHeight="1" s="36">
      <c r="A76" s="24" t="inlineStr">
        <is>
          <t>Dev Mode</t>
        </is>
      </c>
      <c r="B76" s="24" t="inlineStr">
        <is>
          <t>Inspector — Building</t>
        </is>
      </c>
      <c r="C76" s="24" t="inlineStr">
        <is>
          <t>]</t>
        </is>
      </c>
      <c r="D76" s="24" t="n"/>
      <c r="E76" s="24" t="inlineStr">
        <is>
          <t>Reset production progress</t>
        </is>
      </c>
      <c r="F76" s="24" t="inlineStr">
        <is>
          <t>Building selected; blueprint inspection inactive</t>
        </is>
      </c>
      <c r="G76" s="24" t="n"/>
      <c r="H76" s="24" t="inlineStr">
        <is>
          <t>src/dev/inspector/building_actions.rs</t>
        </is>
      </c>
      <c r="I76" s="24" t="n"/>
    </row>
    <row r="77" ht="30" customHeight="1" s="36">
      <c r="A77" s="24" t="inlineStr">
        <is>
          <t>Dev Mode</t>
        </is>
      </c>
      <c r="B77" s="24" t="inlineStr">
        <is>
          <t>Inspector — Building</t>
        </is>
      </c>
      <c r="C77" s="24" t="inlineStr">
        <is>
          <t>`</t>
        </is>
      </c>
      <c r="D77" s="24" t="n"/>
      <c r="E77" s="24" t="inlineStr">
        <is>
          <t>Toggle production advanced panel</t>
        </is>
      </c>
      <c r="F77" s="24" t="inlineStr">
        <is>
          <t>Building selected</t>
        </is>
      </c>
      <c r="G77" s="24" t="n"/>
      <c r="H77" s="24" t="inlineStr">
        <is>
          <t>src/dev/inspector/building_actions.rs</t>
        </is>
      </c>
      <c r="I77" s="24" t="n"/>
    </row>
    <row r="78" ht="30" customHeight="1" s="36">
      <c r="A78" s="24" t="inlineStr">
        <is>
          <t>Dev Mode</t>
        </is>
      </c>
      <c r="B78" s="24" t="inlineStr">
        <is>
          <t>Inspector — Building</t>
        </is>
      </c>
      <c r="C78" s="24" t="inlineStr">
        <is>
          <t>\</t>
        </is>
      </c>
      <c r="D78" s="24" t="n"/>
      <c r="E78" s="24" t="inlineStr">
        <is>
          <t>Validate production runtime</t>
        </is>
      </c>
      <c r="F78" s="24" t="inlineStr">
        <is>
          <t>Building selected</t>
        </is>
      </c>
      <c r="G78" s="24" t="n"/>
      <c r="H78" s="24" t="inlineStr">
        <is>
          <t>src/dev/inspector/building_actions.rs</t>
        </is>
      </c>
      <c r="I78" s="24" t="n"/>
    </row>
    <row r="79" ht="30" customHeight="1" s="36">
      <c r="A79" s="24" t="inlineStr">
        <is>
          <t>Dev Mode</t>
        </is>
      </c>
      <c r="B79" s="24" t="inlineStr">
        <is>
          <t>Inspector — Building</t>
        </is>
      </c>
      <c r="C79" s="24" t="inlineStr">
        <is>
          <t>'</t>
        </is>
      </c>
      <c r="D79" s="24" t="n"/>
      <c r="E79" s="24" t="inlineStr">
        <is>
          <t>Cycle production operation (forward)</t>
        </is>
      </c>
      <c r="F79" s="24" t="inlineStr">
        <is>
          <t>Building selected</t>
        </is>
      </c>
      <c r="G79" s="24" t="n"/>
      <c r="H79" s="24" t="inlineStr">
        <is>
          <t>src/dev/inspector/building_actions.rs</t>
        </is>
      </c>
      <c r="I79" s="24" t="n"/>
    </row>
    <row r="80" ht="30" customHeight="1" s="36">
      <c r="A80" s="24" t="inlineStr">
        <is>
          <t>Dev Mode</t>
        </is>
      </c>
      <c r="B80" s="24" t="inlineStr">
        <is>
          <t>Inspector — Building</t>
        </is>
      </c>
      <c r="C80" s="24" t="inlineStr">
        <is>
          <t>;</t>
        </is>
      </c>
      <c r="D80" s="24" t="n"/>
      <c r="E80" s="24" t="inlineStr">
        <is>
          <t>Cycle production operation (backward)</t>
        </is>
      </c>
      <c r="F80" s="24" t="inlineStr">
        <is>
          <t>Building selected</t>
        </is>
      </c>
      <c r="G80" s="24" t="n"/>
      <c r="H80" s="24" t="inlineStr">
        <is>
          <t>src/dev/inspector/building_actions.rs</t>
        </is>
      </c>
      <c r="I80" s="24" t="n"/>
    </row>
    <row r="81" ht="30" customHeight="1" s="36">
      <c r="A81" s="24" t="inlineStr">
        <is>
          <t>Dev Mode</t>
        </is>
      </c>
      <c r="B81" s="24" t="inlineStr">
        <is>
          <t>Inspector — Building</t>
        </is>
      </c>
      <c r="C81" s="24" t="inlineStr">
        <is>
          <t>M</t>
        </is>
      </c>
      <c r="D81" s="24" t="n"/>
      <c r="E81" s="24" t="inlineStr">
        <is>
          <t>Force-execute one production cycle</t>
        </is>
      </c>
      <c r="F81" s="24" t="inlineStr">
        <is>
          <t>Building selected</t>
        </is>
      </c>
      <c r="G81" s="24" t="n"/>
      <c r="H81" s="24" t="inlineStr">
        <is>
          <t>src/dev/inspector/building_actions.rs</t>
        </is>
      </c>
      <c r="I81" s="24" t="n"/>
    </row>
    <row r="82" ht="30" customHeight="1" s="36">
      <c r="A82" s="24" t="inlineStr">
        <is>
          <t>Dev Mode</t>
        </is>
      </c>
      <c r="B82" s="24" t="inlineStr">
        <is>
          <t>Inspector — Building</t>
        </is>
      </c>
      <c r="C82" s="24" t="inlineStr">
        <is>
          <t>K</t>
        </is>
      </c>
      <c r="D82" s="24" t="n"/>
      <c r="E82" s="24" t="inlineStr">
        <is>
          <t>Clear binding inventories</t>
        </is>
      </c>
      <c r="F82" s="24" t="inlineStr">
        <is>
          <t>Building selected</t>
        </is>
      </c>
      <c r="G82" s="24" t="n"/>
      <c r="H82" s="24" t="inlineStr">
        <is>
          <t>src/dev/inspector/building_actions.rs</t>
        </is>
      </c>
      <c r="I82" s="24" t="n"/>
    </row>
    <row r="83" ht="30" customHeight="1" s="36">
      <c r="A83" s="24" t="inlineStr">
        <is>
          <t>Dev Mode</t>
        </is>
      </c>
      <c r="B83" s="24" t="inlineStr">
        <is>
          <t>Inspector — Building</t>
        </is>
      </c>
      <c r="C83" s="24" t="inlineStr">
        <is>
          <t>Q</t>
        </is>
      </c>
      <c r="D83" s="24" t="n"/>
      <c r="E83" s="24" t="inlineStr">
        <is>
          <t>Spawn manual haul / cancel hauls / force-complete (modifiers)</t>
        </is>
      </c>
      <c r="F83" s="24" t="inlineStr">
        <is>
          <t>Building selected; Shift=cancel open; Ctrl=force complete</t>
        </is>
      </c>
      <c r="G83" s="24" t="n"/>
      <c r="H83" s="24" t="inlineStr">
        <is>
          <t>src/dev/inspector/building_actions.rs</t>
        </is>
      </c>
      <c r="I83" s="24" t="n"/>
    </row>
    <row r="84" ht="30" customHeight="1" s="36">
      <c r="A84" s="24" t="inlineStr">
        <is>
          <t>Dev Mode</t>
        </is>
      </c>
      <c r="B84" s="24" t="inlineStr">
        <is>
          <t>Inspector — Building</t>
        </is>
      </c>
      <c r="C84" s="24" t="inlineStr">
        <is>
          <t>(UI button)</t>
        </is>
      </c>
      <c r="D84" s="24" t="inlineStr">
        <is>
          <t>Mouse</t>
        </is>
      </c>
      <c r="E84" s="24" t="inlineStr">
        <is>
          <t>Cycle production repeat mode</t>
        </is>
      </c>
      <c r="F84" s="24" t="inlineStr">
        <is>
          <t>Building selected; Inspector tab</t>
        </is>
      </c>
      <c r="G84" s="24" t="n"/>
      <c r="H84" s="24" t="inlineStr">
        <is>
          <t>src/dev/inspector/building_actions.rs</t>
        </is>
      </c>
      <c r="I84" s="24" t="inlineStr">
        <is>
          <t>Formerly / — now UI only</t>
        </is>
      </c>
    </row>
    <row r="85" ht="30" customHeight="1" s="36">
      <c r="A85" s="24" t="inlineStr">
        <is>
          <t>Dev Mode</t>
        </is>
      </c>
      <c r="B85" s="24" t="inlineStr">
        <is>
          <t>Blueprint Inspection</t>
        </is>
      </c>
      <c r="C85" s="24" t="inlineStr">
        <is>
          <t>N</t>
        </is>
      </c>
      <c r="D85" s="24" t="n"/>
      <c r="E85" s="24" t="inlineStr">
        <is>
          <t>Enter blueprint inspection mode</t>
        </is>
      </c>
      <c r="F85" s="24" t="inlineStr">
        <is>
          <t>Building selected; not already inspecting</t>
        </is>
      </c>
      <c r="G85" s="24" t="n"/>
      <c r="H85" s="24" t="inlineStr">
        <is>
          <t>src/dev/inspector/blueprint_inspection.rs</t>
        </is>
      </c>
      <c r="I85" s="24" t="n"/>
    </row>
    <row r="86" ht="30" customHeight="1" s="36">
      <c r="A86" s="24" t="inlineStr">
        <is>
          <t>Dev Mode</t>
        </is>
      </c>
      <c r="B86" s="24" t="inlineStr">
        <is>
          <t>Blueprint Inspection</t>
        </is>
      </c>
      <c r="C86" s="24" t="inlineStr">
        <is>
          <t>Esc</t>
        </is>
      </c>
      <c r="D86" s="24" t="n"/>
      <c r="E86" s="24" t="inlineStr">
        <is>
          <t>Exit blueprint inspection</t>
        </is>
      </c>
      <c r="F86" s="24" t="inlineStr">
        <is>
          <t>Inspection active; not editing</t>
        </is>
      </c>
      <c r="G86" s="24" t="n"/>
      <c r="H86" s="24" t="inlineStr">
        <is>
          <t>src/dev/inspector/blueprint_inspection.rs</t>
        </is>
      </c>
      <c r="I86" s="24" t="n"/>
    </row>
    <row r="87" ht="30" customHeight="1" s="36">
      <c r="A87" s="24" t="inlineStr">
        <is>
          <t>Dev Mode</t>
        </is>
      </c>
      <c r="B87" s="24" t="inlineStr">
        <is>
          <t>Blueprint Inspection</t>
        </is>
      </c>
      <c r="C87" s="24" t="inlineStr">
        <is>
          <t>[ / ]</t>
        </is>
      </c>
      <c r="D87" s="24" t="n"/>
      <c r="E87" s="24" t="inlineStr">
        <is>
          <t>Previous / next floor</t>
        </is>
      </c>
      <c r="F87" s="24" t="inlineStr">
        <is>
          <t>Inspection active</t>
        </is>
      </c>
      <c r="G87" s="24" t="n"/>
      <c r="H87" s="24" t="inlineStr">
        <is>
          <t>src/dev/inspector/blueprint_inspection.rs</t>
        </is>
      </c>
      <c r="I87" s="24" t="n"/>
    </row>
    <row r="88" ht="30" customHeight="1" s="36">
      <c r="A88" s="24" t="inlineStr">
        <is>
          <t>Dev Mode</t>
        </is>
      </c>
      <c r="B88" s="24" t="inlineStr">
        <is>
          <t>Blueprint Inspection</t>
        </is>
      </c>
      <c r="C88" s="24" t="inlineStr">
        <is>
          <t>Shift+R</t>
        </is>
      </c>
      <c r="D88" s="24" t="inlineStr">
        <is>
          <t>Shift</t>
        </is>
      </c>
      <c r="E88" s="24" t="inlineStr">
        <is>
          <t>Regenerate blueprint from mesh</t>
        </is>
      </c>
      <c r="F88" s="24" t="inlineStr">
        <is>
          <t>Inspection active</t>
        </is>
      </c>
      <c r="G88" s="24" t="n"/>
      <c r="H88" s="24" t="inlineStr">
        <is>
          <t>src/dev/inspector/blueprint_inspection.rs</t>
        </is>
      </c>
      <c r="I88" s="24" t="n"/>
    </row>
    <row r="89" ht="30" customHeight="1" s="36">
      <c r="A89" s="24" t="inlineStr">
        <is>
          <t>Dev Mode</t>
        </is>
      </c>
      <c r="B89" s="24" t="inlineStr">
        <is>
          <t>Blueprint Inspection</t>
        </is>
      </c>
      <c r="C89" s="24" t="inlineStr">
        <is>
          <t>1–9</t>
        </is>
      </c>
      <c r="D89" s="24" t="n"/>
      <c r="E89" s="24" t="inlineStr">
        <is>
          <t>Focus validation diagnostic N</t>
        </is>
      </c>
      <c r="F89" s="24" t="inlineStr">
        <is>
          <t>Inspection active</t>
        </is>
      </c>
      <c r="G89" s="24" t="n"/>
      <c r="H89" s="24" t="inlineStr">
        <is>
          <t>src/dev/inspector/blueprint_inspection.rs</t>
        </is>
      </c>
      <c r="I89" s="24" t="inlineStr">
        <is>
          <t>Conflicts with dev favorites when unfocused</t>
        </is>
      </c>
    </row>
    <row r="90" ht="30" customHeight="1" s="36">
      <c r="A90" s="24" t="inlineStr">
        <is>
          <t>Dev Mode</t>
        </is>
      </c>
      <c r="B90" s="24" t="inlineStr">
        <is>
          <t>Blueprint Inspection</t>
        </is>
      </c>
      <c r="C90" s="24" t="inlineStr">
        <is>
          <t>Enter / Esc</t>
        </is>
      </c>
      <c r="D90" s="24" t="n"/>
      <c r="E90" s="24" t="inlineStr">
        <is>
          <t>Confirm / cancel pending blueprint action</t>
        </is>
      </c>
      <c r="F90" s="24" t="inlineStr">
        <is>
          <t>Pending confirmation dialog</t>
        </is>
      </c>
      <c r="G90" s="24" t="n"/>
      <c r="H90" s="24" t="inlineStr">
        <is>
          <t>src/dev/inspector/blueprint_inspection.rs</t>
        </is>
      </c>
      <c r="I90" s="24" t="n"/>
    </row>
    <row r="91">
      <c r="A91" s="24" t="inlineStr">
        <is>
          <t>Dev Mode</t>
        </is>
      </c>
      <c r="B91" s="24" t="inlineStr">
        <is>
          <t>Blueprint Edit</t>
        </is>
      </c>
      <c r="C91" s="24" t="inlineStr">
        <is>
          <t>E</t>
        </is>
      </c>
      <c r="D91" s="24" t="n"/>
      <c r="E91" s="24" t="inlineStr">
        <is>
          <t>Enter blueprint edit mode</t>
        </is>
      </c>
      <c r="F91" s="24" t="inlineStr">
        <is>
          <t>Building selected; not editing</t>
        </is>
      </c>
      <c r="G91" s="24" t="n"/>
      <c r="H91" s="24" t="inlineStr">
        <is>
          <t>src/dev/inspector/blueprint_edit.rs</t>
        </is>
      </c>
      <c r="I91" s="24" t="inlineStr">
        <is>
          <t>Conflicts with dev enabled-only filter</t>
        </is>
      </c>
    </row>
    <row r="92">
      <c r="A92" s="24" t="inlineStr">
        <is>
          <t>Dev Mode</t>
        </is>
      </c>
      <c r="B92" s="24" t="inlineStr">
        <is>
          <t>Blueprint Edit</t>
        </is>
      </c>
      <c r="C92" s="24" t="inlineStr">
        <is>
          <t>Ctrl+S</t>
        </is>
      </c>
      <c r="D92" s="24" t="inlineStr">
        <is>
          <t>Ctrl</t>
        </is>
      </c>
      <c r="E92" s="24" t="inlineStr">
        <is>
          <t>Save instance blueprint override</t>
        </is>
      </c>
      <c r="F92" s="24" t="inlineStr">
        <is>
          <t>Edit mode</t>
        </is>
      </c>
      <c r="G92" s="24" t="n"/>
      <c r="H92" s="24" t="inlineStr">
        <is>
          <t>src/dev/inspector/blueprint_edit.rs</t>
        </is>
      </c>
      <c r="I92" s="24" t="n"/>
    </row>
    <row r="93">
      <c r="A93" s="24" t="inlineStr">
        <is>
          <t>Dev Mode</t>
        </is>
      </c>
      <c r="B93" s="24" t="inlineStr">
        <is>
          <t>Blueprint Edit</t>
        </is>
      </c>
      <c r="C93" s="24" t="inlineStr">
        <is>
          <t>Ctrl+Shift+S</t>
        </is>
      </c>
      <c r="D93" s="24" t="inlineStr">
        <is>
          <t>Ctrl+Shift</t>
        </is>
      </c>
      <c r="E93" s="24" t="inlineStr">
        <is>
          <t>Apply blueprint to asset default</t>
        </is>
      </c>
      <c r="F93" s="24" t="inlineStr">
        <is>
          <t>Edit mode</t>
        </is>
      </c>
      <c r="G93" s="24" t="n"/>
      <c r="H93" s="24" t="inlineStr">
        <is>
          <t>src/dev/inspector/blueprint_edit.rs</t>
        </is>
      </c>
      <c r="I93" s="24" t="n"/>
    </row>
    <row r="94">
      <c r="A94" s="24" t="inlineStr">
        <is>
          <t>Dev Mode</t>
        </is>
      </c>
      <c r="B94" s="24" t="inlineStr">
        <is>
          <t>Blueprint Edit</t>
        </is>
      </c>
      <c r="C94" s="24" t="inlineStr">
        <is>
          <t>Ctrl+Shift+V</t>
        </is>
      </c>
      <c r="D94" s="24" t="inlineStr">
        <is>
          <t>Ctrl+Shift</t>
        </is>
      </c>
      <c r="E94" s="24" t="inlineStr">
        <is>
          <t>Save as new building variant</t>
        </is>
      </c>
      <c r="F94" s="24" t="inlineStr">
        <is>
          <t>Edit mode</t>
        </is>
      </c>
      <c r="G94" s="24" t="n"/>
      <c r="H94" s="24" t="inlineStr">
        <is>
          <t>src/dev/inspector/blueprint_edit.rs</t>
        </is>
      </c>
      <c r="I94" s="24" t="n"/>
    </row>
    <row r="95">
      <c r="A95" s="24" t="inlineStr">
        <is>
          <t>Dev Mode</t>
        </is>
      </c>
      <c r="B95" s="24" t="inlineStr">
        <is>
          <t>Blueprint Edit</t>
        </is>
      </c>
      <c r="C95" s="24" t="inlineStr">
        <is>
          <t>Ctrl+Alt+R</t>
        </is>
      </c>
      <c r="D95" s="24" t="inlineStr">
        <is>
          <t>Ctrl+Alt</t>
        </is>
      </c>
      <c r="E95" s="24" t="inlineStr">
        <is>
          <t>Reset instance to asset/generated</t>
        </is>
      </c>
      <c r="F95" s="24" t="inlineStr">
        <is>
          <t>Edit mode</t>
        </is>
      </c>
      <c r="G95" s="24" t="n"/>
      <c r="H95" s="24" t="inlineStr">
        <is>
          <t>src/dev/inspector/blueprint_edit.rs</t>
        </is>
      </c>
      <c r="I95" s="24" t="n"/>
    </row>
    <row r="96">
      <c r="A96" s="24" t="inlineStr">
        <is>
          <t>Dev Mode</t>
        </is>
      </c>
      <c r="B96" s="24" t="inlineStr">
        <is>
          <t>Blueprint Edit</t>
        </is>
      </c>
      <c r="C96" s="24" t="inlineStr">
        <is>
          <t>1 / 2 / 3</t>
        </is>
      </c>
      <c r="D96" s="24" t="n"/>
      <c r="E96" s="24" t="inlineStr">
        <is>
          <t>Edit tool: select / add vertex / add entrance</t>
        </is>
      </c>
      <c r="F96" s="24" t="inlineStr">
        <is>
          <t>Edit mode</t>
        </is>
      </c>
      <c r="G96" s="24" t="n"/>
      <c r="H96" s="24" t="inlineStr">
        <is>
          <t>src/dev/inspector/blueprint_edit.rs</t>
        </is>
      </c>
      <c r="I96" s="24" t="n"/>
    </row>
    <row r="97">
      <c r="A97" s="24" t="inlineStr">
        <is>
          <t>Dev Mode</t>
        </is>
      </c>
      <c r="B97" s="24" t="inlineStr">
        <is>
          <t>Blueprint Edit</t>
        </is>
      </c>
      <c r="C97" s="24" t="inlineStr">
        <is>
          <t>Del / Backspace</t>
        </is>
      </c>
      <c r="D97" s="24" t="n"/>
      <c r="E97" s="24" t="inlineStr">
        <is>
          <t>Delete selected blueprint element</t>
        </is>
      </c>
      <c r="F97" s="24" t="inlineStr">
        <is>
          <t>Edit mode</t>
        </is>
      </c>
      <c r="G97" s="24" t="n"/>
      <c r="H97" s="24" t="inlineStr">
        <is>
          <t>src/dev/inspector/blueprint_edit.rs</t>
        </is>
      </c>
      <c r="I97" s="24" t="n"/>
    </row>
    <row r="98">
      <c r="A98" s="24" t="inlineStr">
        <is>
          <t>Dev Mode</t>
        </is>
      </c>
      <c r="B98" s="24" t="inlineStr">
        <is>
          <t>Blueprint Edit</t>
        </is>
      </c>
      <c r="C98" s="24" t="inlineStr">
        <is>
          <t>+ / -</t>
        </is>
      </c>
      <c r="D98" s="24" t="n"/>
      <c r="E98" s="24" t="inlineStr">
        <is>
          <t>Adjust entrance/transition radius</t>
        </is>
      </c>
      <c r="F98" s="24" t="inlineStr">
        <is>
          <t>Edit mode; element selected</t>
        </is>
      </c>
      <c r="G98" s="24" t="n"/>
      <c r="H98" s="24" t="inlineStr">
        <is>
          <t>src/dev/inspector/blueprint_edit.rs</t>
        </is>
      </c>
      <c r="I98" s="24" t="n"/>
    </row>
    <row r="99">
      <c r="A99" s="24" t="inlineStr">
        <is>
          <t>Dev Mode</t>
        </is>
      </c>
      <c r="B99" s="24" t="inlineStr">
        <is>
          <t>Items Tab</t>
        </is>
      </c>
      <c r="C99" s="24" t="inlineStr">
        <is>
          <t>I</t>
        </is>
      </c>
      <c r="D99" s="24" t="n"/>
      <c r="E99" s="24" t="inlineStr">
        <is>
          <t>Switch to Items subtab</t>
        </is>
      </c>
      <c r="F99" s="24" t="inlineStr">
        <is>
          <t>Items tab; dev on</t>
        </is>
      </c>
      <c r="G99" s="24" t="inlineStr">
        <is>
          <t>Text focus</t>
        </is>
      </c>
      <c r="H99" s="24" t="inlineStr">
        <is>
          <t>src/dev/inventory_tools/input.rs</t>
        </is>
      </c>
      <c r="I99" s="24" t="n"/>
    </row>
    <row r="100">
      <c r="A100" s="24" t="inlineStr">
        <is>
          <t>Dev Mode</t>
        </is>
      </c>
      <c r="B100" s="24" t="inlineStr">
        <is>
          <t>Items Tab</t>
        </is>
      </c>
      <c r="C100" s="24" t="inlineStr">
        <is>
          <t>P</t>
        </is>
      </c>
      <c r="D100" s="24" t="n"/>
      <c r="E100" s="24" t="inlineStr">
        <is>
          <t>Switch to Inventory Profiles subtab</t>
        </is>
      </c>
      <c r="F100" s="24" t="inlineStr">
        <is>
          <t>Items tab</t>
        </is>
      </c>
      <c r="G100" s="24" t="n"/>
      <c r="H100" s="24" t="inlineStr">
        <is>
          <t>src/dev/inventory_tools/input.rs</t>
        </is>
      </c>
      <c r="I100" s="24" t="n"/>
    </row>
    <row r="101">
      <c r="A101" s="24" t="inlineStr">
        <is>
          <t>Dev Mode</t>
        </is>
      </c>
      <c r="B101" s="24" t="inlineStr">
        <is>
          <t>Items Tab</t>
        </is>
      </c>
      <c r="C101" s="24" t="inlineStr">
        <is>
          <t>H</t>
        </is>
      </c>
      <c r="D101" s="24" t="n"/>
      <c r="E101" s="24" t="inlineStr">
        <is>
          <t>Switch to Inventory Manage subtab</t>
        </is>
      </c>
      <c r="F101" s="24" t="inlineStr">
        <is>
          <t>Items tab</t>
        </is>
      </c>
      <c r="G101" s="24" t="n"/>
      <c r="H101" s="24" t="inlineStr">
        <is>
          <t>src/dev/inventory_tools/input.rs</t>
        </is>
      </c>
      <c r="I101" s="24" t="n"/>
    </row>
    <row r="102">
      <c r="A102" s="24" t="inlineStr">
        <is>
          <t>Dev Mode</t>
        </is>
      </c>
      <c r="B102" s="24" t="inlineStr">
        <is>
          <t>Items — Manage</t>
        </is>
      </c>
      <c r="C102" s="24" t="inlineStr">
        <is>
          <t>[ / ]</t>
        </is>
      </c>
      <c r="D102" s="24" t="n"/>
      <c r="E102" s="24" t="inlineStr">
        <is>
          <t>Divide / multiply quantity by 10</t>
        </is>
      </c>
      <c r="F102" s="24" t="inlineStr">
        <is>
          <t>Manage subtab</t>
        </is>
      </c>
      <c r="G102" s="24" t="n"/>
      <c r="H102" s="24" t="inlineStr">
        <is>
          <t>src/dev/inventory_tools/input.rs</t>
        </is>
      </c>
      <c r="I102" s="24" t="n"/>
    </row>
    <row r="103">
      <c r="A103" s="24" t="inlineStr">
        <is>
          <t>Dev Mode</t>
        </is>
      </c>
      <c r="B103" s="24" t="inlineStr">
        <is>
          <t>Items — Manage</t>
        </is>
      </c>
      <c r="C103" s="24" t="inlineStr">
        <is>
          <t>+ / -</t>
        </is>
      </c>
      <c r="D103" s="24" t="n"/>
      <c r="E103" s="24" t="inlineStr">
        <is>
          <t>Increment / decrement quantity</t>
        </is>
      </c>
      <c r="F103" s="24" t="inlineStr">
        <is>
          <t>Manage subtab</t>
        </is>
      </c>
      <c r="G103" s="24" t="n"/>
      <c r="H103" s="24" t="inlineStr">
        <is>
          <t>src/dev/inventory_tools/input.rs</t>
        </is>
      </c>
      <c r="I103" s="24" t="n"/>
    </row>
    <row r="104">
      <c r="A104" s="24" t="inlineStr">
        <is>
          <t>Dev Mode</t>
        </is>
      </c>
      <c r="B104" s="24" t="inlineStr">
        <is>
          <t>Items — Manage</t>
        </is>
      </c>
      <c r="C104" s="24" t="inlineStr">
        <is>
          <t>T</t>
        </is>
      </c>
      <c r="D104" s="24" t="n"/>
      <c r="E104" s="24" t="inlineStr">
        <is>
          <t>Cycle inventory endpoint</t>
        </is>
      </c>
      <c r="F104" s="24" t="inlineStr">
        <is>
          <t>Manage subtab</t>
        </is>
      </c>
      <c r="G104" s="24" t="n"/>
      <c r="H104" s="24" t="inlineStr">
        <is>
          <t>src/dev/inventory_tools/input.rs</t>
        </is>
      </c>
      <c r="I104" s="24" t="inlineStr">
        <is>
          <t>Overrides spawn team T</t>
        </is>
      </c>
    </row>
    <row r="105">
      <c r="A105" s="24" t="inlineStr">
        <is>
          <t>Dev Mode</t>
        </is>
      </c>
      <c r="B105" s="24" t="inlineStr">
        <is>
          <t>Items — Manage</t>
        </is>
      </c>
      <c r="C105" s="24" t="inlineStr">
        <is>
          <t>Y</t>
        </is>
      </c>
      <c r="D105" s="24" t="n"/>
      <c r="E105" s="24" t="inlineStr">
        <is>
          <t>Cycle entry within endpoint</t>
        </is>
      </c>
      <c r="F105" s="24" t="inlineStr">
        <is>
          <t>Manage subtab</t>
        </is>
      </c>
      <c r="G105" s="24" t="n"/>
      <c r="H105" s="24" t="inlineStr">
        <is>
          <t>src/dev/inventory_tools/input.rs</t>
        </is>
      </c>
      <c r="I105" s="24" t="n"/>
    </row>
    <row r="106" ht="30" customHeight="1" s="36">
      <c r="A106" s="24" t="inlineStr">
        <is>
          <t>Dev Mode</t>
        </is>
      </c>
      <c r="B106" s="24" t="inlineStr">
        <is>
          <t>Items — Manage</t>
        </is>
      </c>
      <c r="C106" s="24" t="inlineStr">
        <is>
          <t>A / R / S / C / F / G / V</t>
        </is>
      </c>
      <c r="D106" s="24" t="n"/>
      <c r="E106" s="24" t="inlineStr">
        <is>
          <t>Add / remove / set qty / clear / fill / arm pile / validate</t>
        </is>
      </c>
      <c r="F106" s="24" t="inlineStr">
        <is>
          <t>Manage subtab; target selected in inspector</t>
        </is>
      </c>
      <c r="G106" s="24" t="n"/>
      <c r="H106" s="24" t="inlineStr">
        <is>
          <t>src/dev/inventory_tools/input.rs</t>
        </is>
      </c>
      <c r="I106" s="24" t="inlineStr">
        <is>
          <t>Letter keys reused across dev — context gated</t>
        </is>
      </c>
    </row>
    <row r="107">
      <c r="A107" s="24" t="inlineStr">
        <is>
          <t>Dev Mode</t>
        </is>
      </c>
      <c r="B107" s="24" t="inlineStr">
        <is>
          <t>Items — Harness</t>
        </is>
      </c>
      <c r="C107" s="24" t="inlineStr">
        <is>
          <t>N</t>
        </is>
      </c>
      <c r="D107" s="24" t="n"/>
      <c r="E107" s="24" t="inlineStr">
        <is>
          <t>New detached inventory</t>
        </is>
      </c>
      <c r="F107" s="24" t="inlineStr">
        <is>
          <t>Items tab → Inventory Harness subtab</t>
        </is>
      </c>
      <c r="G107" s="24" t="n"/>
      <c r="H107" s="24" t="inlineStr">
        <is>
          <t>src/dev/inventory_harness.rs</t>
        </is>
      </c>
      <c r="I107" s="24" t="n"/>
    </row>
    <row r="108">
      <c r="A108" s="24" t="inlineStr">
        <is>
          <t>Dev Mode</t>
        </is>
      </c>
      <c r="B108" s="24" t="inlineStr">
        <is>
          <t>Items — Harness</t>
        </is>
      </c>
      <c r="C108" s="24" t="inlineStr">
        <is>
          <t>Del / Backspace</t>
        </is>
      </c>
      <c r="D108" s="24" t="n"/>
      <c r="E108" s="24" t="inlineStr">
        <is>
          <t>Delete harness inventory</t>
        </is>
      </c>
      <c r="F108" s="24" t="inlineStr">
        <is>
          <t>Harness inventory active</t>
        </is>
      </c>
      <c r="G108" s="24" t="n"/>
      <c r="H108" s="24" t="inlineStr">
        <is>
          <t>src/dev/inventory_harness.rs</t>
        </is>
      </c>
      <c r="I108" s="24" t="n"/>
    </row>
    <row r="109" ht="30" customHeight="1" s="36">
      <c r="A109" s="24" t="inlineStr">
        <is>
          <t>Dev Mode</t>
        </is>
      </c>
      <c r="B109" s="24" t="inlineStr">
        <is>
          <t>Items — Harness</t>
        </is>
      </c>
      <c r="C109" s="24" t="inlineStr">
        <is>
          <t>A / U / O / V / H / M</t>
        </is>
      </c>
      <c r="D109" s="24" t="n"/>
      <c r="E109" s="24" t="inlineStr">
        <is>
          <t>Add stack / unique / auto-sort / validate / split half / merge</t>
        </is>
      </c>
      <c r="F109" s="24" t="inlineStr">
        <is>
          <t>Harness inventory active</t>
        </is>
      </c>
      <c r="G109" s="24" t="n"/>
      <c r="H109" s="24" t="inlineStr">
        <is>
          <t>src/dev/inventory_harness.rs</t>
        </is>
      </c>
      <c r="I109" s="24" t="n"/>
    </row>
    <row r="110">
      <c r="A110" s="24" t="inlineStr">
        <is>
          <t>Dev Mode</t>
        </is>
      </c>
      <c r="B110" s="24" t="inlineStr">
        <is>
          <t>World Tools — Piles</t>
        </is>
      </c>
      <c r="C110" s="24" t="inlineStr">
        <is>
          <t>V</t>
        </is>
      </c>
      <c r="D110" s="24" t="n"/>
      <c r="E110" s="24" t="inlineStr">
        <is>
          <t>Validate world inventory</t>
        </is>
      </c>
      <c r="F110" s="24" t="inlineStr">
        <is>
          <t>World Tools tab</t>
        </is>
      </c>
      <c r="G110" s="24" t="n"/>
      <c r="H110" s="24" t="inlineStr">
        <is>
          <t>src/dev/pile_harness.rs</t>
        </is>
      </c>
      <c r="I110" s="24" t="n"/>
    </row>
    <row r="111" ht="30" customHeight="1" s="36">
      <c r="A111" s="24" t="inlineStr">
        <is>
          <t>Dev Mode</t>
        </is>
      </c>
      <c r="B111" s="24" t="inlineStr">
        <is>
          <t>World Tools — Piles</t>
        </is>
      </c>
      <c r="C111" s="24" t="inlineStr">
        <is>
          <t>P / D / O / H / G / L</t>
        </is>
      </c>
      <c r="D111" s="24" t="n"/>
      <c r="E111" s="24" t="inlineStr">
        <is>
          <t>Spawn pile / drop entry / drop one / half / pickup / loot</t>
        </is>
      </c>
      <c r="F111" s="24" t="inlineStr">
        <is>
          <t>World Tools; unit selected</t>
        </is>
      </c>
      <c r="G111" s="24" t="n"/>
      <c r="H111" s="24" t="inlineStr">
        <is>
          <t>src/dev/pile_harness.rs</t>
        </is>
      </c>
      <c r="I111" s="24" t="n"/>
    </row>
    <row r="112" ht="30" customHeight="1" s="36">
      <c r="A112" s="24" t="inlineStr">
        <is>
          <t>Dev Mode</t>
        </is>
      </c>
      <c r="B112" s="24" t="inlineStr">
        <is>
          <t>World Tools — Treasury</t>
        </is>
      </c>
      <c r="C112" s="24" t="inlineStr">
        <is>
          <t>J / B / C / Y / E</t>
        </is>
      </c>
      <c r="D112" s="24" t="n"/>
      <c r="E112" s="24" t="inlineStr">
        <is>
          <t>Transaction log / wealth audit / create treasury / inspect / deposit</t>
        </is>
      </c>
      <c r="F112" s="24" t="inlineStr">
        <is>
          <t>World Tools; building selected (except J/B)</t>
        </is>
      </c>
      <c r="G112" s="24" t="n"/>
      <c r="H112" s="24" t="inlineStr">
        <is>
          <t>src/dev/treasury_harness.rs</t>
        </is>
      </c>
      <c r="I112" s="24" t="n"/>
    </row>
  </sheetData>
  <autoFilter ref="A4:I1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3" activePane="bottomLeft" state="frozen"/>
      <selection pane="bottomLeft" activeCell="C10" sqref="C10"/>
    </sheetView>
  </sheetViews>
  <sheetFormatPr baseColWidth="8" defaultRowHeight="15"/>
  <cols>
    <col width="7.42578125" bestFit="1" customWidth="1" style="36" min="1" max="1"/>
    <col width="45.140625" bestFit="1" customWidth="1" style="36" min="2" max="2"/>
    <col width="10.7109375" bestFit="1" customWidth="1" style="36" min="3" max="3"/>
    <col width="10.85546875" bestFit="1" customWidth="1" style="36" min="4" max="4"/>
    <col width="12.28515625" bestFit="1" customWidth="1" style="36" min="5" max="5"/>
    <col width="10.28515625" bestFit="1" customWidth="1" style="36" min="6" max="6"/>
    <col width="33.28515625" bestFit="1" customWidth="1" style="36" min="7" max="7"/>
  </cols>
  <sheetData>
    <row r="1">
      <c r="A1" s="5" t="inlineStr">
        <is>
          <t>Task ID</t>
        </is>
      </c>
      <c r="B1" s="5" t="inlineStr">
        <is>
          <t>Description</t>
        </is>
      </c>
      <c r="C1" s="5" t="inlineStr">
        <is>
          <t>Priority</t>
        </is>
      </c>
      <c r="D1" s="16" t="inlineStr">
        <is>
          <t>Status</t>
        </is>
      </c>
      <c r="E1" s="16" t="inlineStr">
        <is>
          <t>Category</t>
        </is>
      </c>
      <c r="F1" s="16" t="inlineStr">
        <is>
          <t>Est. Hours</t>
        </is>
      </c>
      <c r="G1" s="16" t="inlineStr">
        <is>
          <t>Notes</t>
        </is>
      </c>
    </row>
    <row r="2">
      <c r="A2" s="3" t="inlineStr">
        <is>
          <t>T-0001</t>
        </is>
      </c>
      <c r="B2" s="3" t="inlineStr">
        <is>
          <t>Address Loading freezes during chunk generation</t>
        </is>
      </c>
      <c r="C2" s="3" t="inlineStr">
        <is>
          <t>1 - High</t>
        </is>
      </c>
      <c r="D2" t="inlineStr">
        <is>
          <t>In Progress</t>
        </is>
      </c>
      <c r="E2" t="inlineStr">
        <is>
          <t>Performance</t>
        </is>
      </c>
      <c r="F2" t="n">
        <v>8</v>
      </c>
      <c r="G2" t="inlineStr">
        <is>
          <t>Memory leak suspected</t>
        </is>
      </c>
    </row>
    <row r="3">
      <c r="A3" s="4" t="inlineStr">
        <is>
          <t>T-0002</t>
        </is>
      </c>
      <c r="B3" s="4" t="inlineStr">
        <is>
          <t>Camera tracking onto ground</t>
        </is>
      </c>
      <c r="C3" s="4" t="inlineStr">
        <is>
          <t>3 - Medium</t>
        </is>
      </c>
      <c r="D3" t="inlineStr">
        <is>
          <t>Open</t>
        </is>
      </c>
      <c r="E3" t="inlineStr">
        <is>
          <t>Camera</t>
        </is>
      </c>
      <c r="F3" t="n">
        <v>4</v>
      </c>
      <c r="G3" t="inlineStr">
        <is>
          <t>Implement raycast ground detection</t>
        </is>
      </c>
    </row>
    <row r="4">
      <c r="A4" s="3" t="inlineStr">
        <is>
          <t>T-0003</t>
        </is>
      </c>
      <c r="B4" s="3" t="inlineStr">
        <is>
          <t>Implement basic AI pathfinding</t>
        </is>
      </c>
      <c r="C4" s="3" t="inlineStr">
        <is>
          <t>1 - High</t>
        </is>
      </c>
      <c r="D4" t="inlineStr">
        <is>
          <t>Open</t>
        </is>
      </c>
      <c r="E4" t="inlineStr">
        <is>
          <t>AI</t>
        </is>
      </c>
      <c r="F4" t="n">
        <v>16</v>
      </c>
      <c r="G4" t="inlineStr">
        <is>
          <t>A* algorithm</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D10" sqref="D10"/>
    </sheetView>
  </sheetViews>
  <sheetFormatPr baseColWidth="8" defaultRowHeight="15"/>
  <cols>
    <col width="22.85546875" customWidth="1" style="36" min="1" max="1"/>
    <col width="19" customWidth="1" style="36" min="2" max="2"/>
    <col width="38.140625" customWidth="1" style="36" min="3" max="4"/>
  </cols>
  <sheetData>
    <row r="1">
      <c r="A1" s="13" t="inlineStr">
        <is>
          <t>Stat</t>
        </is>
      </c>
      <c r="B1" s="13" t="inlineStr">
        <is>
          <t>Abbreviation</t>
        </is>
      </c>
      <c r="C1" s="13" t="inlineStr">
        <is>
          <t>Primary Effects</t>
        </is>
      </c>
      <c r="D1" s="13" t="inlineStr">
        <is>
          <t>Secondary Effects</t>
        </is>
      </c>
    </row>
    <row r="2">
      <c r="A2" t="inlineStr">
        <is>
          <t>Strength</t>
        </is>
      </c>
      <c r="B2" t="inlineStr">
        <is>
          <t>STR</t>
        </is>
      </c>
      <c r="C2" t="inlineStr">
        <is>
          <t>Melee damage, Carry weight, Block power</t>
        </is>
      </c>
      <c r="D2" t="inlineStr">
        <is>
          <t>Mining speed, Building speed</t>
        </is>
      </c>
    </row>
    <row r="9" ht="18.75" customHeight="1" s="36">
      <c r="A9" s="37" t="n"/>
    </row>
    <row r="10">
      <c r="A10" s="14" t="n"/>
      <c r="B10" s="14" t="n"/>
      <c r="C10" s="14" t="n"/>
    </row>
    <row r="17">
      <c r="A17" s="10" t="n"/>
      <c r="B17" s="10" t="n"/>
      <c r="C17" s="10" t="n"/>
    </row>
  </sheetData>
  <mergeCells count="1">
    <mergeCell ref="A9:D9"/>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35"/>
  <sheetViews>
    <sheetView workbookViewId="0">
      <pane ySplit="1" topLeftCell="A2" activePane="bottomLeft" state="frozen"/>
      <selection activeCell="C28" sqref="C28"/>
      <selection pane="bottomLeft" activeCell="W14" sqref="W14"/>
    </sheetView>
  </sheetViews>
  <sheetFormatPr baseColWidth="8" defaultRowHeight="15"/>
  <cols>
    <col width="7.140625" bestFit="1" customWidth="1" style="36" min="1" max="1"/>
    <col width="14.42578125" customWidth="1" style="36" min="2" max="2"/>
    <col width="7.5703125" bestFit="1" customWidth="1" style="36" min="3" max="3"/>
    <col width="24.140625" customWidth="1" style="36" min="4" max="4"/>
    <col width="5.85546875" bestFit="1" customWidth="1" style="36" min="5" max="5"/>
    <col width="8.28515625" bestFit="1" customWidth="1" style="36" min="6" max="6"/>
    <col width="8.7109375" bestFit="1" customWidth="1" style="36" min="7" max="7"/>
    <col width="9.42578125" bestFit="1" customWidth="1" style="36" min="8" max="8"/>
    <col width="12.42578125" bestFit="1" customWidth="1" style="36" min="9" max="9"/>
    <col width="6.5703125" bestFit="1" customWidth="1" style="36" min="10" max="10"/>
    <col width="9.5703125" bestFit="1" customWidth="1" style="36" min="11" max="11"/>
    <col width="11.7109375" bestFit="1" customWidth="1" style="36" min="12" max="12"/>
    <col width="17.85546875" customWidth="1" style="36" min="23" max="23"/>
    <col width="16" customWidth="1" style="36" min="24" max="24"/>
  </cols>
  <sheetData>
    <row r="1">
      <c r="A1" s="2" t="inlineStr">
        <is>
          <t>Unit ID</t>
        </is>
      </c>
      <c r="B1" s="2" t="inlineStr">
        <is>
          <t>Name</t>
        </is>
      </c>
      <c r="C1" s="2" t="inlineStr">
        <is>
          <t>Faction Key</t>
        </is>
      </c>
      <c r="D1" t="inlineStr">
        <is>
          <t>Species Key</t>
        </is>
      </c>
      <c r="E1" s="2" t="inlineStr">
        <is>
          <t>File Path</t>
        </is>
      </c>
      <c r="F1" s="2" t="inlineStr">
        <is>
          <t>Level</t>
        </is>
      </c>
      <c r="G1" s="2" t="inlineStr">
        <is>
          <t>Base HP</t>
        </is>
      </c>
      <c r="H1" s="2" t="inlineStr">
        <is>
          <t>Strength</t>
        </is>
      </c>
      <c r="I1" s="2" t="inlineStr">
        <is>
          <t>Dexterity</t>
        </is>
      </c>
      <c r="J1" s="2" t="inlineStr">
        <is>
          <t>Constitution</t>
        </is>
      </c>
      <c r="K1" s="2" t="inlineStr">
        <is>
          <t>Agility</t>
        </is>
      </c>
      <c r="L1" s="2" t="inlineStr">
        <is>
          <t>Charisma</t>
        </is>
      </c>
      <c r="M1" s="2" t="inlineStr">
        <is>
          <t>Intelligence</t>
        </is>
      </c>
      <c r="N1" s="9" t="inlineStr">
        <is>
          <t>Total Stats</t>
        </is>
      </c>
      <c r="O1" s="9" t="inlineStr">
        <is>
          <t>Power Rating</t>
        </is>
      </c>
      <c r="P1" s="9" t="inlineStr">
        <is>
          <t>Tier</t>
        </is>
      </c>
      <c r="Q1" s="31" t="inlineStr">
        <is>
          <t>Move Speed</t>
        </is>
      </c>
      <c r="R1" s="31" t="inlineStr">
        <is>
          <t>Collision Radius</t>
        </is>
      </c>
      <c r="S1" s="31" t="inlineStr">
        <is>
          <t>Max Slope</t>
        </is>
      </c>
      <c r="T1" t="inlineStr">
        <is>
          <t>Animation Profile</t>
        </is>
      </c>
      <c r="U1" s="31" t="inlineStr">
        <is>
          <t>Enabled</t>
        </is>
      </c>
      <c r="V1" t="inlineStr">
        <is>
          <t>Default Weapon ID</t>
        </is>
      </c>
      <c r="W1" t="inlineStr">
        <is>
          <t>Rotation Correction X Deg</t>
        </is>
      </c>
      <c r="X1" t="inlineStr">
        <is>
          <t>Rotation Correction Y Deg</t>
        </is>
      </c>
      <c r="Y1" t="inlineStr">
        <is>
          <t>Rotation Correction Z Deg</t>
        </is>
      </c>
      <c r="Z1" t="inlineStr">
        <is>
          <t>Turn Speed Deg/s</t>
        </is>
      </c>
      <c r="AA1" t="inlineStr">
        <is>
          <t>Sight Range</t>
        </is>
      </c>
      <c r="AB1" t="inlineStr">
        <is>
          <t>Appearance Profile ID</t>
        </is>
      </c>
      <c r="AC1" t="inlineStr">
        <is>
          <t>Default Body Variant ID</t>
        </is>
      </c>
    </row>
    <row r="2">
      <c r="A2" s="1" t="inlineStr">
        <is>
          <t>U-0001</t>
        </is>
      </c>
      <c r="B2" s="1" t="inlineStr">
        <is>
          <t>Robot</t>
        </is>
      </c>
      <c r="C2" s="1" t="inlineStr">
        <is>
          <t>player</t>
        </is>
      </c>
      <c r="D2" t="inlineStr">
        <is>
          <t>robot</t>
        </is>
      </c>
      <c r="E2" t="inlineStr">
        <is>
          <t>assets\units\robot.glb</t>
        </is>
      </c>
      <c r="F2" s="1" t="n">
        <v>1</v>
      </c>
      <c r="G2" s="1" t="n">
        <v>50</v>
      </c>
      <c r="H2" s="1" t="n">
        <v>11</v>
      </c>
      <c r="I2" s="1" t="n">
        <v>5</v>
      </c>
      <c r="J2" s="1" t="n">
        <v>8</v>
      </c>
      <c r="K2" s="1" t="n">
        <v>12</v>
      </c>
      <c r="L2" s="1" t="n">
        <v>2</v>
      </c>
      <c r="M2" s="1" t="n">
        <v>10</v>
      </c>
      <c r="N2" t="n">
        <v>48</v>
      </c>
      <c r="O2" t="n">
        <v>65.40000000000001</v>
      </c>
      <c r="P2" s="11" t="inlineStr">
        <is>
          <t>Elite</t>
        </is>
      </c>
      <c r="Q2" t="n">
        <v>9</v>
      </c>
      <c r="R2" t="n">
        <v>0.68</v>
      </c>
      <c r="S2" t="n">
        <v>40</v>
      </c>
      <c r="U2" t="inlineStr">
        <is>
          <t>Y</t>
        </is>
      </c>
      <c r="V2" t="inlineStr">
        <is>
          <t>weapon_fists</t>
        </is>
      </c>
      <c r="X2" t="n">
        <v>90</v>
      </c>
      <c r="Z2" t="n">
        <v>540</v>
      </c>
      <c r="AA2" t="n">
        <v>24</v>
      </c>
    </row>
    <row r="3">
      <c r="A3" s="1" t="inlineStr">
        <is>
          <t>U-0002</t>
        </is>
      </c>
      <c r="B3" t="inlineStr">
        <is>
          <t>Fox</t>
        </is>
      </c>
      <c r="C3" t="inlineStr">
        <is>
          <t>player</t>
        </is>
      </c>
      <c r="D3" t="inlineStr">
        <is>
          <t>fox</t>
        </is>
      </c>
      <c r="E3" t="inlineStr">
        <is>
          <t>assets\units\fox.glb</t>
        </is>
      </c>
      <c r="F3" t="n">
        <v>1</v>
      </c>
      <c r="G3" t="n">
        <v>25</v>
      </c>
      <c r="H3" t="n">
        <v>4</v>
      </c>
      <c r="I3" t="n">
        <v>12</v>
      </c>
      <c r="J3" t="n">
        <v>6</v>
      </c>
      <c r="K3" t="n">
        <v>15</v>
      </c>
      <c r="L3" t="n">
        <v>8</v>
      </c>
      <c r="M3" t="n">
        <v>7</v>
      </c>
      <c r="N3">
        <f>SUM(G3:L3)</f>
        <v/>
      </c>
      <c r="O3" t="n">
        <v>70</v>
      </c>
      <c r="P3" s="11" t="inlineStr">
        <is>
          <t>Creep</t>
        </is>
      </c>
      <c r="Q3" t="n">
        <v>14</v>
      </c>
      <c r="R3" t="n">
        <v>1.25</v>
      </c>
      <c r="S3" t="n">
        <v>50</v>
      </c>
      <c r="T3" t="inlineStr">
        <is>
          <t>fox</t>
        </is>
      </c>
      <c r="U3" t="inlineStr">
        <is>
          <t>Y</t>
        </is>
      </c>
      <c r="V3" t="inlineStr">
        <is>
          <t>weapon_claws</t>
        </is>
      </c>
      <c r="Z3" t="n">
        <v>720</v>
      </c>
      <c r="AA3" t="n">
        <v>24</v>
      </c>
    </row>
    <row r="4">
      <c r="A4" t="inlineStr">
        <is>
          <t>U-0003</t>
        </is>
      </c>
      <c r="B4" t="inlineStr">
        <is>
          <t>Cavecrawler</t>
        </is>
      </c>
      <c r="C4" t="inlineStr">
        <is>
          <t>wild</t>
        </is>
      </c>
      <c r="D4" t="inlineStr">
        <is>
          <t>cavecrawler</t>
        </is>
      </c>
      <c r="E4" t="inlineStr">
        <is>
          <t>assets\units\cavecrawler.glb</t>
        </is>
      </c>
      <c r="F4" t="n">
        <v>3</v>
      </c>
      <c r="G4" t="n">
        <v>45</v>
      </c>
      <c r="H4" t="n">
        <v>8</v>
      </c>
      <c r="I4" t="n">
        <v>6</v>
      </c>
      <c r="J4" t="n">
        <v>7</v>
      </c>
      <c r="K4" t="n">
        <v>5</v>
      </c>
      <c r="L4" t="n">
        <v>2</v>
      </c>
      <c r="M4" t="n">
        <v>3</v>
      </c>
      <c r="N4" t="n">
        <v>31</v>
      </c>
      <c r="O4" t="n">
        <v>53.3</v>
      </c>
      <c r="P4" s="11" t="inlineStr">
        <is>
          <t>Elite</t>
        </is>
      </c>
      <c r="Q4" t="n">
        <v>3.5</v>
      </c>
      <c r="R4" t="n">
        <v>1.1</v>
      </c>
      <c r="S4" t="n">
        <v>45</v>
      </c>
      <c r="T4" t="inlineStr">
        <is>
          <t>cavecrawler</t>
        </is>
      </c>
      <c r="U4" t="inlineStr">
        <is>
          <t>Y</t>
        </is>
      </c>
      <c r="V4" t="inlineStr">
        <is>
          <t>weapon_cavecrawler_claws</t>
        </is>
      </c>
      <c r="X4" t="n">
        <v>180</v>
      </c>
      <c r="Z4" t="n">
        <v>360</v>
      </c>
      <c r="AA4" t="n">
        <v>24</v>
      </c>
    </row>
    <row r="5">
      <c r="A5" t="inlineStr">
        <is>
          <t>U-0004</t>
        </is>
      </c>
      <c r="B5" t="inlineStr">
        <is>
          <t>Human Male</t>
        </is>
      </c>
      <c r="C5" t="inlineStr">
        <is>
          <t>player</t>
        </is>
      </c>
      <c r="D5" t="inlineStr">
        <is>
          <t>human</t>
        </is>
      </c>
      <c r="E5" t="inlineStr">
        <is>
          <t>assets\units\human_male.glb</t>
        </is>
      </c>
      <c r="F5" t="n">
        <v>1</v>
      </c>
      <c r="G5" t="n">
        <v>50</v>
      </c>
      <c r="H5" t="n">
        <v>8</v>
      </c>
      <c r="I5" t="n">
        <v>6</v>
      </c>
      <c r="J5" t="n">
        <v>8</v>
      </c>
      <c r="K5" t="n">
        <v>8</v>
      </c>
      <c r="L5" t="n">
        <v>5</v>
      </c>
      <c r="M5" t="n">
        <v>6</v>
      </c>
      <c r="O5" t="n">
        <v>52</v>
      </c>
      <c r="P5" t="inlineStr">
        <is>
          <t>Regular</t>
        </is>
      </c>
      <c r="Q5" t="n">
        <v>4.5</v>
      </c>
      <c r="R5" t="n">
        <v>0.4</v>
      </c>
      <c r="S5" t="n">
        <v>40</v>
      </c>
      <c r="T5" t="inlineStr">
        <is>
          <t>human_base</t>
        </is>
      </c>
      <c r="U5" t="inlineStr">
        <is>
          <t>Y</t>
        </is>
      </c>
      <c r="V5" t="inlineStr">
        <is>
          <t>weapon_fists</t>
        </is>
      </c>
      <c r="X5" t="n">
        <v>180</v>
      </c>
      <c r="AA5" t="n">
        <v>24</v>
      </c>
      <c r="AB5" t="inlineStr">
        <is>
          <t>human</t>
        </is>
      </c>
      <c r="AC5" t="inlineStr">
        <is>
          <t>human_male</t>
        </is>
      </c>
    </row>
    <row r="6">
      <c r="A6" t="inlineStr">
        <is>
          <t>U-0005</t>
        </is>
      </c>
      <c r="B6" t="inlineStr">
        <is>
          <t>Human Female</t>
        </is>
      </c>
      <c r="C6" t="inlineStr">
        <is>
          <t>player</t>
        </is>
      </c>
      <c r="D6" t="inlineStr">
        <is>
          <t>human</t>
        </is>
      </c>
      <c r="E6" t="inlineStr">
        <is>
          <t>assets\units\human_female.glb</t>
        </is>
      </c>
      <c r="F6" t="n">
        <v>1</v>
      </c>
      <c r="G6" t="n">
        <v>50</v>
      </c>
      <c r="H6" t="n">
        <v>8</v>
      </c>
      <c r="I6" t="n">
        <v>6</v>
      </c>
      <c r="J6" t="n">
        <v>8</v>
      </c>
      <c r="K6" t="n">
        <v>8</v>
      </c>
      <c r="L6" t="n">
        <v>5</v>
      </c>
      <c r="M6" t="n">
        <v>6</v>
      </c>
      <c r="O6" t="n">
        <v>52</v>
      </c>
      <c r="P6" t="inlineStr">
        <is>
          <t>Regular</t>
        </is>
      </c>
      <c r="Q6" t="n">
        <v>4.5</v>
      </c>
      <c r="R6" t="n">
        <v>0.4</v>
      </c>
      <c r="S6" t="n">
        <v>40</v>
      </c>
      <c r="T6" t="inlineStr">
        <is>
          <t>human_base</t>
        </is>
      </c>
      <c r="U6" t="inlineStr">
        <is>
          <t>Y</t>
        </is>
      </c>
      <c r="V6" t="inlineStr">
        <is>
          <t>weapon_fists</t>
        </is>
      </c>
      <c r="X6" t="n">
        <v>180</v>
      </c>
      <c r="AA6" t="n">
        <v>24</v>
      </c>
      <c r="AB6" t="inlineStr">
        <is>
          <t>human</t>
        </is>
      </c>
      <c r="AC6" t="inlineStr">
        <is>
          <t>human_female</t>
        </is>
      </c>
    </row>
    <row r="7">
      <c r="A7" t="inlineStr">
        <is>
          <t>U-0006</t>
        </is>
      </c>
      <c r="B7" t="inlineStr">
        <is>
          <t>Tyranopode</t>
        </is>
      </c>
      <c r="C7" t="inlineStr">
        <is>
          <t>wild</t>
        </is>
      </c>
      <c r="D7" t="inlineStr">
        <is>
          <t>tyranopode</t>
        </is>
      </c>
      <c r="E7" t="inlineStr">
        <is>
          <t>assets\units\tyranopode.glb</t>
        </is>
      </c>
      <c r="F7" t="n">
        <v>3</v>
      </c>
      <c r="G7" t="n">
        <v>40</v>
      </c>
      <c r="H7" t="n">
        <v>7</v>
      </c>
      <c r="I7" t="n">
        <v>6</v>
      </c>
      <c r="J7" t="n">
        <v>6</v>
      </c>
      <c r="K7" t="n">
        <v>5</v>
      </c>
      <c r="L7" t="n">
        <v>2</v>
      </c>
      <c r="M7" t="n">
        <v>2</v>
      </c>
      <c r="N7" t="n">
        <v>28</v>
      </c>
      <c r="O7" t="n">
        <v>48.4</v>
      </c>
      <c r="P7" s="11" t="inlineStr">
        <is>
          <t>Elite</t>
        </is>
      </c>
      <c r="Q7" t="n">
        <v>3.5</v>
      </c>
      <c r="R7" t="n">
        <v>1</v>
      </c>
      <c r="S7" t="n">
        <v>45</v>
      </c>
      <c r="T7" t="inlineStr">
        <is>
          <t>tyranopode</t>
        </is>
      </c>
      <c r="U7" t="inlineStr">
        <is>
          <t>Y</t>
        </is>
      </c>
      <c r="V7" t="inlineStr">
        <is>
          <t>weapon_tyranopode_primary</t>
        </is>
      </c>
      <c r="X7" t="n">
        <v>180</v>
      </c>
      <c r="Z7" t="n">
        <v>360</v>
      </c>
      <c r="AA7" t="n">
        <v>20</v>
      </c>
    </row>
    <row r="8">
      <c r="A8" t="inlineStr">
        <is>
          <t>U-0007</t>
        </is>
      </c>
      <c r="B8" t="inlineStr">
        <is>
          <t>Muscomorph</t>
        </is>
      </c>
      <c r="C8" t="inlineStr">
        <is>
          <t>wild</t>
        </is>
      </c>
      <c r="D8" t="inlineStr">
        <is>
          <t>muscomorph</t>
        </is>
      </c>
      <c r="E8" t="inlineStr">
        <is>
          <t>assets\units\muscomorph.glb</t>
        </is>
      </c>
      <c r="F8" t="n">
        <v>3</v>
      </c>
      <c r="G8" t="n">
        <v>40</v>
      </c>
      <c r="H8" t="n">
        <v>7</v>
      </c>
      <c r="I8" t="n">
        <v>6</v>
      </c>
      <c r="J8" t="n">
        <v>6</v>
      </c>
      <c r="K8" t="n">
        <v>5</v>
      </c>
      <c r="L8" t="n">
        <v>2</v>
      </c>
      <c r="M8" t="n">
        <v>2</v>
      </c>
      <c r="N8" t="n">
        <v>28</v>
      </c>
      <c r="O8" t="n">
        <v>48.4</v>
      </c>
      <c r="P8" s="11" t="inlineStr">
        <is>
          <t>Elite</t>
        </is>
      </c>
      <c r="Q8" t="n">
        <v>3.5</v>
      </c>
      <c r="R8" t="n">
        <v>1</v>
      </c>
      <c r="S8" t="n">
        <v>45</v>
      </c>
      <c r="T8" t="inlineStr">
        <is>
          <t>muscomorph</t>
        </is>
      </c>
      <c r="U8" t="inlineStr">
        <is>
          <t>Y</t>
        </is>
      </c>
      <c r="V8" t="inlineStr">
        <is>
          <t>weapon_muscomorph_primary</t>
        </is>
      </c>
      <c r="X8" t="n">
        <v>180</v>
      </c>
      <c r="Z8" t="n">
        <v>360</v>
      </c>
      <c r="AA8" t="n">
        <v>20</v>
      </c>
    </row>
    <row r="9">
      <c r="A9" t="inlineStr">
        <is>
          <t>U-0008</t>
        </is>
      </c>
      <c r="B9" t="inlineStr">
        <is>
          <t>Telluropod</t>
        </is>
      </c>
      <c r="C9" t="inlineStr">
        <is>
          <t>wild</t>
        </is>
      </c>
      <c r="D9" t="inlineStr">
        <is>
          <t>telluropod</t>
        </is>
      </c>
      <c r="E9" t="inlineStr">
        <is>
          <t>assets\units\telluropod.glb</t>
        </is>
      </c>
      <c r="F9" t="n">
        <v>3</v>
      </c>
      <c r="G9" t="n">
        <v>40</v>
      </c>
      <c r="H9" t="n">
        <v>7</v>
      </c>
      <c r="I9" t="n">
        <v>6</v>
      </c>
      <c r="J9" t="n">
        <v>6</v>
      </c>
      <c r="K9" t="n">
        <v>5</v>
      </c>
      <c r="L9" t="n">
        <v>2</v>
      </c>
      <c r="M9" t="n">
        <v>2</v>
      </c>
      <c r="N9" t="n">
        <v>28</v>
      </c>
      <c r="O9" t="n">
        <v>48.4</v>
      </c>
      <c r="P9" s="11" t="inlineStr">
        <is>
          <t>Elite</t>
        </is>
      </c>
      <c r="Q9" t="n">
        <v>3.5</v>
      </c>
      <c r="R9" t="n">
        <v>1</v>
      </c>
      <c r="S9" t="n">
        <v>45</v>
      </c>
      <c r="T9" t="inlineStr">
        <is>
          <t>telluropod</t>
        </is>
      </c>
      <c r="U9" t="inlineStr">
        <is>
          <t>Y</t>
        </is>
      </c>
      <c r="V9" t="inlineStr">
        <is>
          <t>weapon_telluropod_primary</t>
        </is>
      </c>
      <c r="X9" t="n">
        <v>180</v>
      </c>
      <c r="Z9" t="n">
        <v>360</v>
      </c>
      <c r="AA9" t="n">
        <v>20</v>
      </c>
    </row>
    <row r="10">
      <c r="A10" t="inlineStr">
        <is>
          <t>U-0009</t>
        </is>
      </c>
      <c r="B10" t="inlineStr">
        <is>
          <t>Clypeosaurus</t>
        </is>
      </c>
      <c r="C10" t="inlineStr">
        <is>
          <t>wild</t>
        </is>
      </c>
      <c r="D10" t="inlineStr">
        <is>
          <t>clypeosaurus</t>
        </is>
      </c>
      <c r="E10" t="inlineStr">
        <is>
          <t>assets\units\clypeosaurus.glb</t>
        </is>
      </c>
      <c r="F10" t="n">
        <v>3</v>
      </c>
      <c r="G10" t="n">
        <v>40</v>
      </c>
      <c r="H10" t="n">
        <v>7</v>
      </c>
      <c r="I10" t="n">
        <v>6</v>
      </c>
      <c r="J10" t="n">
        <v>6</v>
      </c>
      <c r="K10" t="n">
        <v>5</v>
      </c>
      <c r="L10" t="n">
        <v>2</v>
      </c>
      <c r="M10" t="n">
        <v>2</v>
      </c>
      <c r="N10" t="n">
        <v>28</v>
      </c>
      <c r="O10" t="n">
        <v>48.4</v>
      </c>
      <c r="P10" s="11" t="inlineStr">
        <is>
          <t>Elite</t>
        </is>
      </c>
      <c r="Q10" t="n">
        <v>3.5</v>
      </c>
      <c r="R10" t="n">
        <v>1</v>
      </c>
      <c r="S10" t="n">
        <v>45</v>
      </c>
      <c r="T10" t="inlineStr">
        <is>
          <t>clypeosaurus</t>
        </is>
      </c>
      <c r="U10" t="inlineStr">
        <is>
          <t>Y</t>
        </is>
      </c>
      <c r="V10" t="inlineStr">
        <is>
          <t>weapon_clypeosaurus_primary</t>
        </is>
      </c>
      <c r="X10" t="n">
        <v>180</v>
      </c>
      <c r="Z10" t="n">
        <v>360</v>
      </c>
      <c r="AA10" t="n">
        <v>20</v>
      </c>
    </row>
    <row r="11">
      <c r="A11" t="inlineStr">
        <is>
          <t>U-0010</t>
        </is>
      </c>
      <c r="B11" t="inlineStr">
        <is>
          <t>Giant Slug</t>
        </is>
      </c>
      <c r="C11" t="inlineStr">
        <is>
          <t>wild</t>
        </is>
      </c>
      <c r="D11" t="inlineStr">
        <is>
          <t>giant_slug</t>
        </is>
      </c>
      <c r="E11" t="inlineStr">
        <is>
          <t>assets\units\giant_slug.glb</t>
        </is>
      </c>
      <c r="F11" t="n">
        <v>3</v>
      </c>
      <c r="G11" t="n">
        <v>40</v>
      </c>
      <c r="H11" t="n">
        <v>7</v>
      </c>
      <c r="I11" t="n">
        <v>6</v>
      </c>
      <c r="J11" t="n">
        <v>6</v>
      </c>
      <c r="K11" t="n">
        <v>5</v>
      </c>
      <c r="L11" t="n">
        <v>2</v>
      </c>
      <c r="M11" t="n">
        <v>2</v>
      </c>
      <c r="N11" t="n">
        <v>28</v>
      </c>
      <c r="O11" t="n">
        <v>48.4</v>
      </c>
      <c r="P11" s="11" t="inlineStr">
        <is>
          <t>Elite</t>
        </is>
      </c>
      <c r="Q11" t="n">
        <v>3.5</v>
      </c>
      <c r="R11" t="n">
        <v>1</v>
      </c>
      <c r="S11" t="n">
        <v>45</v>
      </c>
      <c r="T11" t="inlineStr">
        <is>
          <t>giant_slug</t>
        </is>
      </c>
      <c r="U11" t="inlineStr">
        <is>
          <t>Y</t>
        </is>
      </c>
      <c r="V11" t="inlineStr">
        <is>
          <t>weapon_giant_slug_primary</t>
        </is>
      </c>
      <c r="X11" t="n">
        <v>180</v>
      </c>
      <c r="Z11" t="n">
        <v>360</v>
      </c>
      <c r="AA11" t="n">
        <v>20</v>
      </c>
    </row>
    <row r="12">
      <c r="A12" t="inlineStr">
        <is>
          <t>U-0011</t>
        </is>
      </c>
      <c r="B12" t="inlineStr">
        <is>
          <t>Karcinomorph</t>
        </is>
      </c>
      <c r="C12" t="inlineStr">
        <is>
          <t>wild</t>
        </is>
      </c>
      <c r="D12" t="inlineStr">
        <is>
          <t>karcinomorph</t>
        </is>
      </c>
      <c r="E12" t="inlineStr">
        <is>
          <t>assets\units\karcinomorph.glb</t>
        </is>
      </c>
      <c r="F12" t="n">
        <v>3</v>
      </c>
      <c r="G12" t="n">
        <v>40</v>
      </c>
      <c r="H12" t="n">
        <v>7</v>
      </c>
      <c r="I12" t="n">
        <v>6</v>
      </c>
      <c r="J12" t="n">
        <v>6</v>
      </c>
      <c r="K12" t="n">
        <v>5</v>
      </c>
      <c r="L12" t="n">
        <v>2</v>
      </c>
      <c r="M12" t="n">
        <v>2</v>
      </c>
      <c r="N12" t="n">
        <v>28</v>
      </c>
      <c r="O12" t="n">
        <v>48.4</v>
      </c>
      <c r="P12" s="11" t="inlineStr">
        <is>
          <t>Elite</t>
        </is>
      </c>
      <c r="Q12" t="n">
        <v>3.5</v>
      </c>
      <c r="R12" t="n">
        <v>1</v>
      </c>
      <c r="S12" t="n">
        <v>45</v>
      </c>
      <c r="T12" t="inlineStr">
        <is>
          <t>karcinomorph</t>
        </is>
      </c>
      <c r="U12" t="inlineStr">
        <is>
          <t>Y</t>
        </is>
      </c>
      <c r="V12" t="inlineStr">
        <is>
          <t>weapon_karcinomorph_primary</t>
        </is>
      </c>
      <c r="X12" t="n">
        <v>180</v>
      </c>
      <c r="Z12" t="n">
        <v>360</v>
      </c>
      <c r="AA12" t="n">
        <v>20</v>
      </c>
    </row>
    <row r="13">
      <c r="A13" t="inlineStr">
        <is>
          <t>U-0012</t>
        </is>
      </c>
      <c r="B13" t="inlineStr">
        <is>
          <t>Scyver</t>
        </is>
      </c>
      <c r="C13" t="inlineStr">
        <is>
          <t>wild</t>
        </is>
      </c>
      <c r="D13" t="inlineStr">
        <is>
          <t>scyver</t>
        </is>
      </c>
      <c r="E13" t="inlineStr">
        <is>
          <t>assets\units\scyver.glb</t>
        </is>
      </c>
      <c r="F13" t="n">
        <v>3</v>
      </c>
      <c r="G13" t="n">
        <v>40</v>
      </c>
      <c r="H13" t="n">
        <v>7</v>
      </c>
      <c r="I13" t="n">
        <v>6</v>
      </c>
      <c r="J13" t="n">
        <v>6</v>
      </c>
      <c r="K13" t="n">
        <v>5</v>
      </c>
      <c r="L13" t="n">
        <v>2</v>
      </c>
      <c r="M13" t="n">
        <v>2</v>
      </c>
      <c r="N13" t="n">
        <v>28</v>
      </c>
      <c r="O13" t="n">
        <v>48.4</v>
      </c>
      <c r="P13" s="11" t="inlineStr">
        <is>
          <t>Elite</t>
        </is>
      </c>
      <c r="Q13" t="n">
        <v>3.5</v>
      </c>
      <c r="R13" t="n">
        <v>1</v>
      </c>
      <c r="S13" t="n">
        <v>45</v>
      </c>
      <c r="T13" t="inlineStr">
        <is>
          <t>scyver</t>
        </is>
      </c>
      <c r="U13" t="inlineStr">
        <is>
          <t>Y</t>
        </is>
      </c>
      <c r="V13" t="inlineStr">
        <is>
          <t>weapon_scyver_primary</t>
        </is>
      </c>
      <c r="X13" t="n">
        <v>180</v>
      </c>
      <c r="Z13" t="n">
        <v>360</v>
      </c>
      <c r="AA13" t="n">
        <v>20</v>
      </c>
    </row>
    <row r="14">
      <c r="A14" t="inlineStr">
        <is>
          <t>U-0013</t>
        </is>
      </c>
      <c r="B14" t="inlineStr">
        <is>
          <t>Scolomorph</t>
        </is>
      </c>
      <c r="C14" t="inlineStr">
        <is>
          <t>wild</t>
        </is>
      </c>
      <c r="D14" t="inlineStr">
        <is>
          <t>scolomorph</t>
        </is>
      </c>
      <c r="E14" t="inlineStr">
        <is>
          <t>assets\units\scolomorph.glb</t>
        </is>
      </c>
      <c r="F14" t="n">
        <v>3</v>
      </c>
      <c r="G14" t="n">
        <v>40</v>
      </c>
      <c r="H14" t="n">
        <v>7</v>
      </c>
      <c r="I14" t="n">
        <v>6</v>
      </c>
      <c r="J14" t="n">
        <v>6</v>
      </c>
      <c r="K14" t="n">
        <v>5</v>
      </c>
      <c r="L14" t="n">
        <v>2</v>
      </c>
      <c r="M14" t="n">
        <v>2</v>
      </c>
      <c r="N14" t="n">
        <v>28</v>
      </c>
      <c r="O14" t="n">
        <v>48.4</v>
      </c>
      <c r="P14" s="11" t="inlineStr">
        <is>
          <t>Elite</t>
        </is>
      </c>
      <c r="Q14" t="n">
        <v>3.5</v>
      </c>
      <c r="R14" t="n">
        <v>1</v>
      </c>
      <c r="S14" t="n">
        <v>45</v>
      </c>
      <c r="T14" t="inlineStr">
        <is>
          <t>scolomorph</t>
        </is>
      </c>
      <c r="U14" t="inlineStr">
        <is>
          <t>Y</t>
        </is>
      </c>
      <c r="V14" t="inlineStr">
        <is>
          <t>weapon_scolomorph_primary</t>
        </is>
      </c>
      <c r="X14" t="n">
        <v>180</v>
      </c>
      <c r="Z14" t="n">
        <v>360</v>
      </c>
      <c r="AA14" t="n">
        <v>20</v>
      </c>
    </row>
    <row r="15">
      <c r="A15" t="inlineStr">
        <is>
          <t>U-0014</t>
        </is>
      </c>
      <c r="B15" t="inlineStr">
        <is>
          <t>Tetrachnide</t>
        </is>
      </c>
      <c r="C15" t="inlineStr">
        <is>
          <t>wild</t>
        </is>
      </c>
      <c r="D15" t="inlineStr">
        <is>
          <t>tetrachnide</t>
        </is>
      </c>
      <c r="E15" t="inlineStr">
        <is>
          <t>assets\units\tetrachnide.glb</t>
        </is>
      </c>
      <c r="F15" t="n">
        <v>3</v>
      </c>
      <c r="G15" t="n">
        <v>40</v>
      </c>
      <c r="H15" t="n">
        <v>7</v>
      </c>
      <c r="I15" t="n">
        <v>6</v>
      </c>
      <c r="J15" t="n">
        <v>6</v>
      </c>
      <c r="K15" t="n">
        <v>5</v>
      </c>
      <c r="L15" t="n">
        <v>2</v>
      </c>
      <c r="M15" t="n">
        <v>2</v>
      </c>
      <c r="N15" t="n">
        <v>28</v>
      </c>
      <c r="O15" t="n">
        <v>48.4</v>
      </c>
      <c r="P15" s="11" t="inlineStr">
        <is>
          <t>Elite</t>
        </is>
      </c>
      <c r="Q15" t="n">
        <v>3.5</v>
      </c>
      <c r="R15" t="n">
        <v>1</v>
      </c>
      <c r="S15" t="n">
        <v>45</v>
      </c>
      <c r="T15" t="inlineStr">
        <is>
          <t>tetrachnide</t>
        </is>
      </c>
      <c r="U15" t="inlineStr">
        <is>
          <t>Y</t>
        </is>
      </c>
      <c r="V15" t="inlineStr">
        <is>
          <t>weapon_tetrachnide_primary</t>
        </is>
      </c>
      <c r="X15" t="n">
        <v>180</v>
      </c>
      <c r="Z15" t="n">
        <v>360</v>
      </c>
      <c r="AA15" t="n">
        <v>20</v>
      </c>
    </row>
    <row r="16">
      <c r="A16" t="inlineStr">
        <is>
          <t>U-0015</t>
        </is>
      </c>
      <c r="B16" t="inlineStr">
        <is>
          <t>Vespomorph</t>
        </is>
      </c>
      <c r="C16" t="inlineStr">
        <is>
          <t>wild</t>
        </is>
      </c>
      <c r="D16" t="inlineStr">
        <is>
          <t>vespomorph</t>
        </is>
      </c>
      <c r="E16" t="inlineStr">
        <is>
          <t>assets\units\vespomorph.glb</t>
        </is>
      </c>
      <c r="F16" t="n">
        <v>3</v>
      </c>
      <c r="G16" t="n">
        <v>40</v>
      </c>
      <c r="H16" t="n">
        <v>7</v>
      </c>
      <c r="I16" t="n">
        <v>6</v>
      </c>
      <c r="J16" t="n">
        <v>6</v>
      </c>
      <c r="K16" t="n">
        <v>5</v>
      </c>
      <c r="L16" t="n">
        <v>2</v>
      </c>
      <c r="M16" t="n">
        <v>2</v>
      </c>
      <c r="N16" t="n">
        <v>28</v>
      </c>
      <c r="O16" t="n">
        <v>48.4</v>
      </c>
      <c r="P16" s="11" t="inlineStr">
        <is>
          <t>Elite</t>
        </is>
      </c>
      <c r="Q16" t="n">
        <v>3.5</v>
      </c>
      <c r="R16" t="n">
        <v>1</v>
      </c>
      <c r="S16" t="n">
        <v>45</v>
      </c>
      <c r="T16" t="inlineStr">
        <is>
          <t>vespomorph</t>
        </is>
      </c>
      <c r="U16" t="inlineStr">
        <is>
          <t>Y</t>
        </is>
      </c>
      <c r="V16" t="inlineStr">
        <is>
          <t>weapon_vespomorph_primary</t>
        </is>
      </c>
      <c r="X16" t="n">
        <v>180</v>
      </c>
      <c r="Z16" t="n">
        <v>360</v>
      </c>
      <c r="AA16" t="n">
        <v>20</v>
      </c>
    </row>
    <row r="17">
      <c r="A17" t="inlineStr">
        <is>
          <t>U-0016</t>
        </is>
      </c>
      <c r="B17" t="inlineStr">
        <is>
          <t>Morphorrid</t>
        </is>
      </c>
      <c r="C17" t="inlineStr">
        <is>
          <t>wild</t>
        </is>
      </c>
      <c r="D17" t="inlineStr">
        <is>
          <t>morphorrid</t>
        </is>
      </c>
      <c r="E17" t="inlineStr">
        <is>
          <t>assets\units\morphorrid.glb</t>
        </is>
      </c>
      <c r="F17" t="n">
        <v>3</v>
      </c>
      <c r="G17" t="n">
        <v>40</v>
      </c>
      <c r="H17" t="n">
        <v>7</v>
      </c>
      <c r="I17" t="n">
        <v>6</v>
      </c>
      <c r="J17" t="n">
        <v>6</v>
      </c>
      <c r="K17" t="n">
        <v>5</v>
      </c>
      <c r="L17" t="n">
        <v>2</v>
      </c>
      <c r="M17" t="n">
        <v>2</v>
      </c>
      <c r="N17" t="n">
        <v>28</v>
      </c>
      <c r="O17" t="n">
        <v>48.4</v>
      </c>
      <c r="P17" s="11" t="inlineStr">
        <is>
          <t>Elite</t>
        </is>
      </c>
      <c r="Q17" t="n">
        <v>3.5</v>
      </c>
      <c r="R17" t="n">
        <v>1</v>
      </c>
      <c r="S17" t="n">
        <v>45</v>
      </c>
      <c r="T17" t="inlineStr">
        <is>
          <t>morphorrid</t>
        </is>
      </c>
      <c r="U17" t="inlineStr">
        <is>
          <t>Y</t>
        </is>
      </c>
      <c r="V17" t="inlineStr">
        <is>
          <t>weapon_morphorrid_primary</t>
        </is>
      </c>
      <c r="X17" t="n">
        <v>180</v>
      </c>
      <c r="Z17" t="n">
        <v>360</v>
      </c>
      <c r="AA17" t="n">
        <v>20</v>
      </c>
    </row>
    <row r="18">
      <c r="A18" t="inlineStr">
        <is>
          <t>U-0017</t>
        </is>
      </c>
      <c r="B18" t="inlineStr">
        <is>
          <t>Carcidonte</t>
        </is>
      </c>
      <c r="C18" t="inlineStr">
        <is>
          <t>wild</t>
        </is>
      </c>
      <c r="D18" t="inlineStr">
        <is>
          <t>carcidonte</t>
        </is>
      </c>
      <c r="E18" t="inlineStr">
        <is>
          <t>assets\units\carcidonte.glb</t>
        </is>
      </c>
      <c r="F18" t="n">
        <v>3</v>
      </c>
      <c r="G18" t="n">
        <v>40</v>
      </c>
      <c r="H18" t="n">
        <v>7</v>
      </c>
      <c r="I18" t="n">
        <v>6</v>
      </c>
      <c r="J18" t="n">
        <v>6</v>
      </c>
      <c r="K18" t="n">
        <v>5</v>
      </c>
      <c r="L18" t="n">
        <v>2</v>
      </c>
      <c r="M18" t="n">
        <v>2</v>
      </c>
      <c r="N18" t="n">
        <v>28</v>
      </c>
      <c r="O18" t="n">
        <v>48.4</v>
      </c>
      <c r="P18" s="11" t="inlineStr">
        <is>
          <t>Elite</t>
        </is>
      </c>
      <c r="Q18" t="n">
        <v>3.5</v>
      </c>
      <c r="R18" t="n">
        <v>1</v>
      </c>
      <c r="S18" t="n">
        <v>45</v>
      </c>
      <c r="T18" t="inlineStr">
        <is>
          <t>carcidonte</t>
        </is>
      </c>
      <c r="U18" t="inlineStr">
        <is>
          <t>Y</t>
        </is>
      </c>
      <c r="V18" t="inlineStr">
        <is>
          <t>weapon_carcidonte_primary</t>
        </is>
      </c>
      <c r="X18" t="n">
        <v>180</v>
      </c>
      <c r="Z18" t="n">
        <v>360</v>
      </c>
      <c r="AA18" t="n">
        <v>20</v>
      </c>
    </row>
    <row r="19">
      <c r="A19" t="inlineStr">
        <is>
          <t>U-0018</t>
        </is>
      </c>
      <c r="B19" t="inlineStr">
        <is>
          <t>Entomorane</t>
        </is>
      </c>
      <c r="C19" t="inlineStr">
        <is>
          <t>wild</t>
        </is>
      </c>
      <c r="D19" t="inlineStr">
        <is>
          <t>entomorane</t>
        </is>
      </c>
      <c r="E19" t="inlineStr">
        <is>
          <t>assets\units\entomorane.glb</t>
        </is>
      </c>
      <c r="F19" t="n">
        <v>3</v>
      </c>
      <c r="G19" t="n">
        <v>40</v>
      </c>
      <c r="H19" t="n">
        <v>7</v>
      </c>
      <c r="I19" t="n">
        <v>6</v>
      </c>
      <c r="J19" t="n">
        <v>6</v>
      </c>
      <c r="K19" t="n">
        <v>5</v>
      </c>
      <c r="L19" t="n">
        <v>2</v>
      </c>
      <c r="M19" t="n">
        <v>2</v>
      </c>
      <c r="N19" t="n">
        <v>28</v>
      </c>
      <c r="O19" t="n">
        <v>48.4</v>
      </c>
      <c r="P19" s="11" t="inlineStr">
        <is>
          <t>Elite</t>
        </is>
      </c>
      <c r="Q19" t="n">
        <v>3.5</v>
      </c>
      <c r="R19" t="n">
        <v>1</v>
      </c>
      <c r="S19" t="n">
        <v>45</v>
      </c>
      <c r="T19" t="inlineStr">
        <is>
          <t>entomorane</t>
        </is>
      </c>
      <c r="U19" t="inlineStr">
        <is>
          <t>Y</t>
        </is>
      </c>
      <c r="V19" t="inlineStr">
        <is>
          <t>weapon_entomorane_primary</t>
        </is>
      </c>
      <c r="X19" t="n">
        <v>180</v>
      </c>
      <c r="Z19" t="n">
        <v>360</v>
      </c>
      <c r="AA19" t="n">
        <v>20</v>
      </c>
    </row>
    <row r="20">
      <c r="A20" t="inlineStr">
        <is>
          <t>U-0019</t>
        </is>
      </c>
      <c r="B20" t="inlineStr">
        <is>
          <t>Laminferox</t>
        </is>
      </c>
      <c r="C20" t="inlineStr">
        <is>
          <t>wild</t>
        </is>
      </c>
      <c r="D20" t="inlineStr">
        <is>
          <t>laminferox</t>
        </is>
      </c>
      <c r="E20" t="inlineStr">
        <is>
          <t>assets\units\laminferox.glb</t>
        </is>
      </c>
      <c r="F20" t="n">
        <v>3</v>
      </c>
      <c r="G20" t="n">
        <v>40</v>
      </c>
      <c r="H20" t="n">
        <v>7</v>
      </c>
      <c r="I20" t="n">
        <v>6</v>
      </c>
      <c r="J20" t="n">
        <v>6</v>
      </c>
      <c r="K20" t="n">
        <v>5</v>
      </c>
      <c r="L20" t="n">
        <v>2</v>
      </c>
      <c r="M20" t="n">
        <v>2</v>
      </c>
      <c r="N20" t="n">
        <v>28</v>
      </c>
      <c r="O20" t="n">
        <v>48.4</v>
      </c>
      <c r="P20" s="11" t="inlineStr">
        <is>
          <t>Elite</t>
        </is>
      </c>
      <c r="Q20" t="n">
        <v>3.5</v>
      </c>
      <c r="R20" t="n">
        <v>1</v>
      </c>
      <c r="S20" t="n">
        <v>45</v>
      </c>
      <c r="T20" t="inlineStr">
        <is>
          <t>laminferox</t>
        </is>
      </c>
      <c r="U20" t="inlineStr">
        <is>
          <t>Y</t>
        </is>
      </c>
      <c r="V20" t="inlineStr">
        <is>
          <t>weapon_laminferox_primary</t>
        </is>
      </c>
      <c r="X20" t="n">
        <v>180</v>
      </c>
      <c r="Z20" t="n">
        <v>360</v>
      </c>
      <c r="AA20" t="n">
        <v>20</v>
      </c>
    </row>
    <row r="21">
      <c r="A21" t="inlineStr">
        <is>
          <t>U-0029</t>
        </is>
      </c>
      <c r="B21" t="inlineStr">
        <is>
          <t>Bufomorph</t>
        </is>
      </c>
      <c r="C21" t="inlineStr">
        <is>
          <t>wild</t>
        </is>
      </c>
      <c r="D21" t="inlineStr">
        <is>
          <t>bufomorph</t>
        </is>
      </c>
      <c r="E21" t="inlineStr">
        <is>
          <t>assets\units\bufomorph.glb</t>
        </is>
      </c>
      <c r="F21" t="n">
        <v>3</v>
      </c>
      <c r="G21" t="n">
        <v>40</v>
      </c>
      <c r="H21" t="n">
        <v>7</v>
      </c>
      <c r="I21" t="n">
        <v>6</v>
      </c>
      <c r="J21" t="n">
        <v>6</v>
      </c>
      <c r="K21" t="n">
        <v>5</v>
      </c>
      <c r="L21" t="n">
        <v>2</v>
      </c>
      <c r="M21" t="n">
        <v>2</v>
      </c>
      <c r="P21" s="11" t="n"/>
      <c r="Q21" t="n">
        <v>3.5</v>
      </c>
      <c r="R21" t="n">
        <v>1</v>
      </c>
      <c r="S21" t="n">
        <v>45</v>
      </c>
      <c r="T21" t="inlineStr">
        <is>
          <t>bufomorph</t>
        </is>
      </c>
      <c r="U21" t="inlineStr">
        <is>
          <t>Y</t>
        </is>
      </c>
      <c r="V21" t="inlineStr">
        <is>
          <t>weapon_bufomorph_primary</t>
        </is>
      </c>
      <c r="X21" t="n">
        <v>180</v>
      </c>
      <c r="Z21" t="n">
        <v>360</v>
      </c>
      <c r="AA21" t="n">
        <v>20</v>
      </c>
    </row>
    <row r="22">
      <c r="P22" s="11" t="n"/>
    </row>
    <row r="23">
      <c r="P23" s="11" t="n"/>
    </row>
    <row r="24">
      <c r="P24" s="11" t="n"/>
    </row>
    <row r="25">
      <c r="P25" s="11" t="n"/>
    </row>
    <row r="26">
      <c r="P26" s="11" t="n"/>
    </row>
    <row r="27">
      <c r="P27" s="11" t="n"/>
    </row>
    <row r="28" ht="15.75" customHeight="1" s="36">
      <c r="A28" s="10" t="n"/>
      <c r="B28" s="10" t="n"/>
      <c r="C28" s="10" t="n"/>
      <c r="E28" s="10" t="n"/>
      <c r="F28" s="10" t="n"/>
      <c r="G28" s="10" t="n"/>
      <c r="H28" s="10" t="n"/>
      <c r="I28" s="10" t="n"/>
      <c r="J28" s="10" t="n"/>
      <c r="K28" s="10" t="n"/>
      <c r="L28" s="10" t="n"/>
      <c r="M28" s="10" t="n"/>
      <c r="N28" s="10" t="n"/>
      <c r="O28" s="10" t="n"/>
      <c r="P28" s="12" t="n"/>
    </row>
    <row r="30" ht="15.75" customHeight="1" s="36">
      <c r="A30" s="7" t="inlineStr">
        <is>
          <t>UNIT STATISTICS</t>
        </is>
      </c>
      <c r="AA30" t="n">
        <v>24</v>
      </c>
    </row>
    <row r="31">
      <c r="A31" s="6" t="inlineStr">
        <is>
          <t>Total Units:</t>
        </is>
      </c>
      <c r="B31" s="22">
        <f>COUNTA(A2:A26)</f>
        <v/>
      </c>
      <c r="C31" t="inlineStr">
        <is>
          <t>wild</t>
        </is>
      </c>
      <c r="D31" t="inlineStr">
        <is>
          <t>counta_a2_a26</t>
        </is>
      </c>
      <c r="F31" s="6" t="inlineStr">
        <is>
          <t>Elite Units:</t>
        </is>
      </c>
      <c r="G31" s="23">
        <f>COUNTIF(O2:O26,"Elite")</f>
        <v/>
      </c>
      <c r="AA31" t="n">
        <v>24</v>
      </c>
    </row>
    <row r="32">
      <c r="A32" s="6" t="inlineStr">
        <is>
          <t>Avg Power Rating:</t>
        </is>
      </c>
      <c r="B32" s="22">
        <f>ROUND(AVERAGE(N2:N26),1)</f>
        <v/>
      </c>
      <c r="C32" t="inlineStr">
        <is>
          <t>wild</t>
        </is>
      </c>
      <c r="D32" t="inlineStr">
        <is>
          <t>round_average_n2_n26_1</t>
        </is>
      </c>
      <c r="F32" s="6" t="inlineStr">
        <is>
          <t>Veteran Units:</t>
        </is>
      </c>
      <c r="G32" s="23">
        <f>COUNTIF(O2:O26,"Veteran")</f>
        <v/>
      </c>
      <c r="AA32" t="n">
        <v>24</v>
      </c>
    </row>
    <row r="33">
      <c r="A33" s="6" t="inlineStr">
        <is>
          <t>Strongest Unit:</t>
        </is>
      </c>
      <c r="B33" s="22">
        <f>INDEX(B2:B26,MATCH(MAX(N2:N26),N2:N26,0))</f>
        <v/>
      </c>
      <c r="C33" t="inlineStr">
        <is>
          <t>wild</t>
        </is>
      </c>
      <c r="D33" t="inlineStr">
        <is>
          <t>index_b2_b26_match_max_n2_n26_n2_n26_0</t>
        </is>
      </c>
      <c r="F33" s="6" t="inlineStr">
        <is>
          <t>Regular Units:</t>
        </is>
      </c>
      <c r="G33" s="23">
        <f>COUNTIF(O2:O26,"Regular")</f>
        <v/>
      </c>
      <c r="AA33" t="n">
        <v>24</v>
      </c>
    </row>
    <row r="34">
      <c r="A34" s="6" t="inlineStr">
        <is>
          <t>Wild Units:</t>
        </is>
      </c>
      <c r="B34" s="22">
        <f>COUNTIF(C2:C26,"Wild")</f>
        <v/>
      </c>
      <c r="C34" t="inlineStr">
        <is>
          <t>wild</t>
        </is>
      </c>
      <c r="D34" t="inlineStr">
        <is>
          <t>countif_c2_c26_wild</t>
        </is>
      </c>
      <c r="F34" s="6" t="inlineStr">
        <is>
          <t>Rookie Units:</t>
        </is>
      </c>
      <c r="G34" s="23">
        <f>COUNTIF(O2:O26,"Rookie")</f>
        <v/>
      </c>
      <c r="AA34" t="n">
        <v>24</v>
      </c>
    </row>
    <row r="35">
      <c r="A35" s="6" t="inlineStr">
        <is>
          <t>Bandit Units:</t>
        </is>
      </c>
      <c r="B35" s="22">
        <f>COUNTIF(C2:C26,"Bandits")</f>
        <v/>
      </c>
      <c r="C35" t="inlineStr">
        <is>
          <t>wild</t>
        </is>
      </c>
      <c r="D35" t="inlineStr">
        <is>
          <t>countif_c2_c26_bandits</t>
        </is>
      </c>
      <c r="AA35" t="n">
        <v>24</v>
      </c>
    </row>
  </sheetData>
  <pageMargins left="0.7" right="0.7" top="0.75" bottom="0.75" header="0.3" footer="0.3"/>
  <pageSetup orientation="portrait" horizontalDpi="0" verticalDpi="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39"/>
  <sheetViews>
    <sheetView tabSelected="1" topLeftCell="A18" workbookViewId="0">
      <selection activeCell="A6" sqref="A6:A24"/>
    </sheetView>
  </sheetViews>
  <sheetFormatPr baseColWidth="8" defaultRowHeight="15"/>
  <cols>
    <col width="98.28515625" customWidth="1" style="24" min="1" max="1"/>
    <col width="12.5703125" customWidth="1" style="36" min="2" max="2"/>
  </cols>
  <sheetData>
    <row r="1" ht="18" customHeight="1" s="36">
      <c r="A1" s="25" t="inlineStr">
        <is>
          <t>Chasma — Setting Summary</t>
        </is>
      </c>
    </row>
    <row r="3" ht="75" customHeight="1" s="36">
      <c r="A3" s="24" t="inlineStr">
        <is>
          <t>Humanity arrived on an inhabited alien world aboard a massive colony ship. During descent, the vessel catastrophically broke apart. The crew compartments scattered across the planet, while the main body of the ship—containing the majority of humanity's advanced technology—crashed near the center of the world. The survivors lacked the manpower and resources to reclaim it, and over generations humanity fell into fragmented settlements, preserving only pieces of their former knowledge.</t>
        </is>
      </c>
    </row>
    <row r="4" ht="45" customHeight="1" s="36">
      <c r="A4" s="24" t="inlineStr">
        <is>
          <t>Today, the wreck remains the most valuable location on the planet. Every major civilization has a different vision for its future, creating a world of uneasy alliances, trade, proxy wars, and territorial conflict.</t>
        </is>
      </c>
    </row>
    <row r="6" ht="18" customHeight="1" s="36">
      <c r="A6" s="25" t="inlineStr">
        <is>
          <t>Humans</t>
        </is>
      </c>
    </row>
    <row r="8" ht="45" customHeight="1" s="36">
      <c r="A8" s="24" t="inlineStr">
        <is>
          <t>The most intelligent and adaptable race, but also the most fractured. Their greatest strength is their potential to recover and understand lost technology. Human factions compete among themselves over how the old world should be rebuilt.</t>
        </is>
      </c>
    </row>
    <row r="9">
      <c r="A9" s="26" t="inlineStr">
        <is>
          <t>Goal: Recover the past and reclaim humanity's lost future.</t>
        </is>
      </c>
    </row>
    <row r="11" ht="18" customHeight="1" s="36">
      <c r="A11" s="25" t="inlineStr">
        <is>
          <t>Y'aratan</t>
        </is>
      </c>
    </row>
    <row r="13" ht="60" customHeight="1" s="36">
      <c r="A13" s="24" t="inlineStr">
        <is>
          <t>An insectoid civilization roughly equivalent to medieval humans in technology. Originally organized around rigid biological castes and queens, increasing intelligence is causing individuals to question their assigned roles. Some queens seek to embrace human technology and evolve beyond their origins, while others view it as a corruption of the hive.</t>
        </is>
      </c>
    </row>
    <row r="14">
      <c r="A14" s="26" t="inlineStr">
        <is>
          <t>Goal: Determine what the Y'aratan will become.</t>
        </is>
      </c>
    </row>
    <row r="16" ht="18" customHeight="1" s="36">
      <c r="A16" s="25" t="inlineStr">
        <is>
          <t>Gra-Gu</t>
        </is>
      </c>
    </row>
    <row r="18" ht="60" customHeight="1" s="36">
      <c r="A18" s="24" t="inlineStr">
        <is>
          <t>Silicon-based beings living primarily in the mountains. Slow-moving, immensely durable, and operating on a vastly different perception of time, they are territorial but rarely aggressive. They witnessed humanity's technological power shortly after the crash and were deeply disturbed by what they saw. To them, the wreck is not a treasure—it is a danger.</t>
        </is>
      </c>
    </row>
    <row r="19">
      <c r="A19" s="26" t="inlineStr">
        <is>
          <t>Goal: Ensure no one unleashes humanity's former power again.</t>
        </is>
      </c>
    </row>
    <row r="21" ht="18" customHeight="1" s="36">
      <c r="A21" s="25" t="inlineStr">
        <is>
          <t>Rhal</t>
        </is>
      </c>
    </row>
    <row r="23" ht="60" customHeight="1" s="36">
      <c r="A23" s="24" t="inlineStr">
        <is>
          <t>Digitigrade mammalian nomads known for their speed, endurance, and mastery of logistics. They maintain the trade routes connecting distant civilizations and are generally trusted more than any government or faction. While they rarely wage war, they understand better than anyone how valuable the crashed ship could become.</t>
        </is>
      </c>
    </row>
    <row r="24">
      <c r="A24" s="26" t="inlineStr">
        <is>
          <t>Goal: Preserve movement, trade, and opportunity in a changing world.</t>
        </is>
      </c>
    </row>
    <row r="26" ht="18" customHeight="1" s="36">
      <c r="A26" s="25" t="inlineStr">
        <is>
          <t>Major Conflicts</t>
        </is>
      </c>
    </row>
    <row r="27">
      <c r="A27" s="27" t="n"/>
    </row>
    <row r="28">
      <c r="A28" s="28" t="inlineStr">
        <is>
          <t>Everyone vs The Wilds – The planet is filled with dangerous megafauna and untamed regions.</t>
        </is>
      </c>
    </row>
    <row r="29">
      <c r="A29" s="28" t="inlineStr">
        <is>
          <t>Y'aratan vs Y'aratan – Rival queens compete for territory, ideology, and the future of their species.</t>
        </is>
      </c>
    </row>
    <row r="30">
      <c r="A30" s="28" t="inlineStr">
        <is>
          <t>Humans vs Y'aratan – Conflict over land, resources, and access to technology.</t>
        </is>
      </c>
    </row>
    <row r="31">
      <c r="A31" s="28" t="inlineStr">
        <is>
          <t>Gra-Gu vs Y'aratan – A long-standing cold war born from an ancient conflict over mountain territory.</t>
        </is>
      </c>
    </row>
    <row r="32">
      <c r="A32" s="28" t="inlineStr">
        <is>
          <t>The Wreck – The central question of the setting:</t>
        </is>
      </c>
    </row>
    <row r="33">
      <c r="A33" s="27" t="inlineStr">
        <is>
          <t>Humans want to reclaim it.</t>
        </is>
      </c>
    </row>
    <row r="34">
      <c r="A34" s="27" t="inlineStr">
        <is>
          <t>Some Y'aratan want to exploit it.</t>
        </is>
      </c>
    </row>
    <row r="35">
      <c r="A35" s="27" t="inlineStr">
        <is>
          <t>Others want it sealed away.</t>
        </is>
      </c>
    </row>
    <row r="36">
      <c r="A36" s="27" t="inlineStr">
        <is>
          <t>The Gra-Gu want it destroyed.</t>
        </is>
      </c>
    </row>
    <row r="37">
      <c r="A37" s="27" t="inlineStr">
        <is>
          <t>The Rhal want access to the prosperity it could create.</t>
        </is>
      </c>
    </row>
    <row r="39">
      <c r="A39" s="24" t="inlineStr">
        <is>
          <t>At its heart, Chasma is a world arguing over what should be done with the remnants of a lost future.</t>
        </is>
      </c>
    </row>
  </sheetData>
  <pageMargins left="0.7" right="0.7" top="0.75" bottom="0.75" header="0.3" footer="0.3"/>
  <pageSetup orientation="portrait" horizontalDpi="0" verticalDpi="0"/>
</worksheet>
</file>

<file path=xl/worksheets/sheet7.xml><?xml version="1.0" encoding="utf-8"?>
<worksheet xmlns="http://schemas.openxmlformats.org/spreadsheetml/2006/main">
  <sheetPr>
    <outlinePr summaryBelow="1" summaryRight="1"/>
    <pageSetUpPr/>
  </sheetPr>
  <dimension ref="A1:U44"/>
  <sheetViews>
    <sheetView workbookViewId="0">
      <selection activeCell="G32" sqref="G32"/>
    </sheetView>
  </sheetViews>
  <sheetFormatPr baseColWidth="8" defaultRowHeight="15"/>
  <cols>
    <col width="17.42578125" customWidth="1" style="36" min="1" max="1"/>
  </cols>
  <sheetData>
    <row r="1" ht="15.75" customHeight="1" s="36" thickBot="1">
      <c r="A1" t="inlineStr">
        <is>
          <t>Item ID</t>
        </is>
      </c>
      <c r="B1" t="inlineStr">
        <is>
          <t>Name</t>
        </is>
      </c>
      <c r="C1" t="inlineStr">
        <is>
          <t>Category</t>
        </is>
      </c>
      <c r="D1" t="inlineStr">
        <is>
          <t>Width</t>
        </is>
      </c>
      <c r="E1" t="inlineStr">
        <is>
          <t>Height</t>
        </is>
      </c>
      <c r="F1" t="inlineStr">
        <is>
          <t>Stackable</t>
        </is>
      </c>
      <c r="G1" t="inlineStr">
        <is>
          <t>Max Stack</t>
        </is>
      </c>
      <c r="H1" t="inlineStr">
        <is>
          <t>Mass Grams</t>
        </is>
      </c>
      <c r="I1" t="inlineStr">
        <is>
          <t>Enabled</t>
        </is>
      </c>
      <c r="J1" t="inlineStr">
        <is>
          <t>Description</t>
        </is>
      </c>
      <c r="K1" t="inlineStr">
        <is>
          <t>Base Value</t>
        </is>
      </c>
      <c r="L1" t="inlineStr">
        <is>
          <t>Rarity</t>
        </is>
      </c>
      <c r="M1" t="inlineStr">
        <is>
          <t>Craft Recipe</t>
        </is>
      </c>
      <c r="N1" t="inlineStr">
        <is>
          <t>Value/Weight</t>
        </is>
      </c>
      <c r="O1" t="inlineStr">
        <is>
          <t>Nutrition</t>
        </is>
      </c>
      <c r="P1" t="inlineStr">
        <is>
          <t>Unique Instance Required</t>
        </is>
      </c>
      <c r="Q1" t="inlineStr">
        <is>
          <t>Equipment Slots</t>
        </is>
      </c>
      <c r="R1" t="inlineStr">
        <is>
          <t>Weapon Definition ID</t>
        </is>
      </c>
      <c r="S1" t="inlineStr">
        <is>
          <t>Armor Profile ID</t>
        </is>
      </c>
      <c r="T1" t="inlineStr">
        <is>
          <t>Backpack Profile ID</t>
        </is>
      </c>
      <c r="U1" t="inlineStr">
        <is>
          <t>Render Key</t>
        </is>
      </c>
    </row>
    <row r="2">
      <c r="A2" t="inlineStr">
        <is>
          <t>gold</t>
        </is>
      </c>
      <c r="B2" t="inlineStr">
        <is>
          <t>Gold</t>
        </is>
      </c>
      <c r="C2" t="inlineStr">
        <is>
          <t>currency</t>
        </is>
      </c>
      <c r="D2" t="n">
        <v>1</v>
      </c>
      <c r="E2" t="n">
        <v>1</v>
      </c>
      <c r="F2" t="inlineStr">
        <is>
          <t>Y</t>
        </is>
      </c>
      <c r="G2" t="n">
        <v>999</v>
      </c>
      <c r="H2" t="n">
        <v>1</v>
      </c>
      <c r="I2" t="inlineStr">
        <is>
          <t>Y</t>
        </is>
      </c>
      <c r="J2" t="inlineStr">
        <is>
          <t>Physical gold coins carried as stackable currency.</t>
        </is>
      </c>
      <c r="K2" t="n">
        <v>1</v>
      </c>
      <c r="L2" t="inlineStr">
        <is>
          <t>Common</t>
        </is>
      </c>
      <c r="M2" t="inlineStr">
        <is>
          <t>-</t>
        </is>
      </c>
    </row>
    <row r="3">
      <c r="A3" t="inlineStr">
        <is>
          <t>iron_ore</t>
        </is>
      </c>
      <c r="B3" t="inlineStr">
        <is>
          <t>Iron Ore</t>
        </is>
      </c>
      <c r="C3" t="inlineStr">
        <is>
          <t>raw_material</t>
        </is>
      </c>
      <c r="D3" t="n">
        <v>2</v>
      </c>
      <c r="E3" t="n">
        <v>2</v>
      </c>
      <c r="F3" t="inlineStr">
        <is>
          <t>Y</t>
        </is>
      </c>
      <c r="G3" t="n">
        <v>50</v>
      </c>
      <c r="H3" t="n">
        <v>2000</v>
      </c>
      <c r="I3" t="inlineStr">
        <is>
          <t>Y</t>
        </is>
      </c>
      <c r="J3" t="inlineStr">
        <is>
          <t>Raw iron for smelting</t>
        </is>
      </c>
      <c r="K3" t="n">
        <v>5</v>
      </c>
      <c r="L3" t="inlineStr">
        <is>
          <t>Common</t>
        </is>
      </c>
      <c r="M3" t="inlineStr">
        <is>
          <t>-</t>
        </is>
      </c>
      <c r="N3">
        <f>IF(F2&gt;0,ROUND(E2/F2,1),"-")</f>
        <v/>
      </c>
    </row>
    <row r="4">
      <c r="A4" t="inlineStr">
        <is>
          <t>copper_ore</t>
        </is>
      </c>
      <c r="B4" t="inlineStr">
        <is>
          <t>Copper Ore</t>
        </is>
      </c>
      <c r="C4" t="inlineStr">
        <is>
          <t>raw_material</t>
        </is>
      </c>
      <c r="D4" t="n">
        <v>2</v>
      </c>
      <c r="E4" t="n">
        <v>2</v>
      </c>
      <c r="F4" t="inlineStr">
        <is>
          <t>Y</t>
        </is>
      </c>
      <c r="G4" t="n">
        <v>50</v>
      </c>
      <c r="H4" t="n">
        <v>2000</v>
      </c>
      <c r="I4" t="inlineStr">
        <is>
          <t>Y</t>
        </is>
      </c>
      <c r="J4" t="inlineStr">
        <is>
          <t>Raw copper for smelting</t>
        </is>
      </c>
      <c r="K4" t="n">
        <v>4</v>
      </c>
      <c r="L4" t="inlineStr">
        <is>
          <t>Common</t>
        </is>
      </c>
      <c r="M4" t="inlineStr">
        <is>
          <t>-</t>
        </is>
      </c>
      <c r="N4">
        <f>IF(F3&gt;0,ROUND(E3/F3,1),"-")</f>
        <v/>
      </c>
    </row>
    <row r="5">
      <c r="A5" t="inlineStr">
        <is>
          <t>iron_bar</t>
        </is>
      </c>
      <c r="B5" t="inlineStr">
        <is>
          <t>Iron Bar</t>
        </is>
      </c>
      <c r="C5" t="inlineStr">
        <is>
          <t>raw_material</t>
        </is>
      </c>
      <c r="D5" t="n">
        <v>1</v>
      </c>
      <c r="E5" t="n">
        <v>3</v>
      </c>
      <c r="F5" t="inlineStr">
        <is>
          <t>Y</t>
        </is>
      </c>
      <c r="G5" t="n">
        <v>20</v>
      </c>
      <c r="H5" t="n">
        <v>3000</v>
      </c>
      <c r="I5" t="inlineStr">
        <is>
          <t>Y</t>
        </is>
      </c>
      <c r="J5" t="inlineStr">
        <is>
          <t>Refined iron</t>
        </is>
      </c>
      <c r="K5" t="n">
        <v>15</v>
      </c>
      <c r="L5" t="inlineStr">
        <is>
          <t>Common</t>
        </is>
      </c>
      <c r="M5" t="inlineStr">
        <is>
          <t>2x Iron Ore</t>
        </is>
      </c>
      <c r="N5">
        <f>IF(F4&gt;0,ROUND(E4/F4,1),"-")</f>
        <v/>
      </c>
    </row>
    <row r="6">
      <c r="A6" t="inlineStr">
        <is>
          <t>copper_bar</t>
        </is>
      </c>
      <c r="B6" t="inlineStr">
        <is>
          <t>Copper Bar</t>
        </is>
      </c>
      <c r="C6" t="inlineStr">
        <is>
          <t>raw_material</t>
        </is>
      </c>
      <c r="D6" t="n">
        <v>3</v>
      </c>
      <c r="E6" t="n">
        <v>1</v>
      </c>
      <c r="F6" t="inlineStr">
        <is>
          <t>Y</t>
        </is>
      </c>
      <c r="G6" t="n">
        <v>20</v>
      </c>
      <c r="H6" t="n">
        <v>3000</v>
      </c>
      <c r="I6" t="inlineStr">
        <is>
          <t>Y</t>
        </is>
      </c>
      <c r="J6" t="inlineStr">
        <is>
          <t>Refined copper</t>
        </is>
      </c>
      <c r="K6" t="n">
        <v>12</v>
      </c>
      <c r="L6" t="inlineStr">
        <is>
          <t>Common</t>
        </is>
      </c>
      <c r="M6" t="inlineStr">
        <is>
          <t>2x Copper Ore</t>
        </is>
      </c>
      <c r="N6">
        <f>IF(F5&gt;0,ROUND(E5/F5,1),"-")</f>
        <v/>
      </c>
    </row>
    <row r="7">
      <c r="A7" t="inlineStr">
        <is>
          <t>scrap_metal</t>
        </is>
      </c>
      <c r="B7" t="inlineStr">
        <is>
          <t>Scrap Metal</t>
        </is>
      </c>
      <c r="C7" t="inlineStr">
        <is>
          <t>raw_material</t>
        </is>
      </c>
      <c r="D7" t="n">
        <v>2</v>
      </c>
      <c r="E7" t="n">
        <v>2</v>
      </c>
      <c r="F7" t="inlineStr">
        <is>
          <t>Y</t>
        </is>
      </c>
      <c r="G7" t="n">
        <v>30</v>
      </c>
      <c r="H7" t="n">
        <v>1000</v>
      </c>
      <c r="I7" t="inlineStr">
        <is>
          <t>Y</t>
        </is>
      </c>
      <c r="J7" t="inlineStr">
        <is>
          <t>Salvaged metal</t>
        </is>
      </c>
      <c r="K7" t="n">
        <v>3</v>
      </c>
      <c r="L7" t="inlineStr">
        <is>
          <t>Common</t>
        </is>
      </c>
      <c r="M7" t="inlineStr">
        <is>
          <t>-</t>
        </is>
      </c>
      <c r="N7">
        <f>IF(F6&gt;0,ROUND(E6/F6,1),"-")</f>
        <v/>
      </c>
    </row>
    <row r="8">
      <c r="A8" t="inlineStr">
        <is>
          <t>ancient_parts</t>
        </is>
      </c>
      <c r="B8" t="inlineStr">
        <is>
          <t>Ancient Parts</t>
        </is>
      </c>
      <c r="C8" t="inlineStr">
        <is>
          <t>raw_material</t>
        </is>
      </c>
      <c r="D8" t="n">
        <v>3</v>
      </c>
      <c r="E8" t="n">
        <v>1</v>
      </c>
      <c r="F8" t="inlineStr">
        <is>
          <t>Y</t>
        </is>
      </c>
      <c r="G8" t="n">
        <v>10</v>
      </c>
      <c r="H8" t="n">
        <v>1000</v>
      </c>
      <c r="I8" t="inlineStr">
        <is>
          <t>Y</t>
        </is>
      </c>
      <c r="J8" t="inlineStr">
        <is>
          <t>Pre-war technology</t>
        </is>
      </c>
      <c r="K8" t="n">
        <v>100</v>
      </c>
      <c r="L8" t="inlineStr">
        <is>
          <t>Rare</t>
        </is>
      </c>
      <c r="M8" t="inlineStr">
        <is>
          <t>-</t>
        </is>
      </c>
      <c r="N8">
        <f>IF(F7&gt;0,ROUND(E7/F7,1),"-")</f>
        <v/>
      </c>
    </row>
    <row r="9">
      <c r="A9" t="inlineStr">
        <is>
          <t>electronics</t>
        </is>
      </c>
      <c r="B9" t="inlineStr">
        <is>
          <t>Electronics</t>
        </is>
      </c>
      <c r="C9" t="inlineStr">
        <is>
          <t>raw_material</t>
        </is>
      </c>
      <c r="D9" t="n">
        <v>1</v>
      </c>
      <c r="E9" t="n">
        <v>1</v>
      </c>
      <c r="F9" t="inlineStr">
        <is>
          <t>Y</t>
        </is>
      </c>
      <c r="G9" t="n">
        <v>15</v>
      </c>
      <c r="H9" t="n">
        <v>500</v>
      </c>
      <c r="I9" t="inlineStr">
        <is>
          <t>Y</t>
        </is>
      </c>
      <c r="J9" t="inlineStr">
        <is>
          <t>Circuits and wires</t>
        </is>
      </c>
      <c r="K9" t="n">
        <v>50</v>
      </c>
      <c r="L9" t="inlineStr">
        <is>
          <t>Uncommon</t>
        </is>
      </c>
      <c r="M9" t="inlineStr">
        <is>
          <t>-</t>
        </is>
      </c>
      <c r="N9">
        <f>IF(F8&gt;0,ROUND(E8/F8,1),"-")</f>
        <v/>
      </c>
    </row>
    <row r="10">
      <c r="A10" t="inlineStr">
        <is>
          <t>wood</t>
        </is>
      </c>
      <c r="B10" t="inlineStr">
        <is>
          <t>Wood</t>
        </is>
      </c>
      <c r="C10" t="inlineStr">
        <is>
          <t>raw_material</t>
        </is>
      </c>
      <c r="D10" t="n">
        <v>2</v>
      </c>
      <c r="E10" t="n">
        <v>2</v>
      </c>
      <c r="F10" t="inlineStr">
        <is>
          <t>Y</t>
        </is>
      </c>
      <c r="G10" t="n">
        <v>50</v>
      </c>
      <c r="H10" t="n">
        <v>2000</v>
      </c>
      <c r="I10" t="inlineStr">
        <is>
          <t>Y</t>
        </is>
      </c>
      <c r="J10" t="inlineStr">
        <is>
          <t>Building material</t>
        </is>
      </c>
      <c r="K10" t="n">
        <v>2</v>
      </c>
      <c r="L10" t="inlineStr">
        <is>
          <t>Common</t>
        </is>
      </c>
      <c r="M10" t="inlineStr">
        <is>
          <t>-</t>
        </is>
      </c>
      <c r="N10">
        <f>IF(F9&gt;0,ROUND(E9/F9,1),"-")</f>
        <v/>
      </c>
    </row>
    <row r="11">
      <c r="A11" t="inlineStr">
        <is>
          <t>stone</t>
        </is>
      </c>
      <c r="B11" t="inlineStr">
        <is>
          <t>Stone</t>
        </is>
      </c>
      <c r="C11" t="inlineStr">
        <is>
          <t>construction_material</t>
        </is>
      </c>
      <c r="D11" t="n">
        <v>2</v>
      </c>
      <c r="E11" t="n">
        <v>2</v>
      </c>
      <c r="F11" t="inlineStr">
        <is>
          <t>Y</t>
        </is>
      </c>
      <c r="G11" t="n">
        <v>50</v>
      </c>
      <c r="H11" t="n">
        <v>3000</v>
      </c>
      <c r="I11" t="inlineStr">
        <is>
          <t>Y</t>
        </is>
      </c>
      <c r="J11" t="inlineStr">
        <is>
          <t>Building material</t>
        </is>
      </c>
      <c r="K11" t="n">
        <v>1</v>
      </c>
      <c r="L11" t="inlineStr">
        <is>
          <t>Common</t>
        </is>
      </c>
      <c r="M11" t="inlineStr">
        <is>
          <t>-</t>
        </is>
      </c>
      <c r="N11">
        <f>IF(F10&gt;0,ROUND(E10/F10,1),"-")</f>
        <v/>
      </c>
    </row>
    <row r="12">
      <c r="A12" t="inlineStr">
        <is>
          <t>plant_fiber</t>
        </is>
      </c>
      <c r="B12" t="inlineStr">
        <is>
          <t>Plant Fiber</t>
        </is>
      </c>
      <c r="C12" t="inlineStr">
        <is>
          <t>raw_material</t>
        </is>
      </c>
      <c r="D12" t="n">
        <v>1</v>
      </c>
      <c r="E12" t="n">
        <v>3</v>
      </c>
      <c r="F12" t="inlineStr">
        <is>
          <t>Y</t>
        </is>
      </c>
      <c r="G12" t="n">
        <v>50</v>
      </c>
      <c r="H12" t="n">
        <v>200</v>
      </c>
      <c r="I12" t="inlineStr">
        <is>
          <t>Y</t>
        </is>
      </c>
      <c r="J12" t="inlineStr">
        <is>
          <t>For bandages and rope</t>
        </is>
      </c>
      <c r="K12" t="n">
        <v>1</v>
      </c>
      <c r="L12" t="inlineStr">
        <is>
          <t>Common</t>
        </is>
      </c>
      <c r="M12" t="inlineStr">
        <is>
          <t>-</t>
        </is>
      </c>
      <c r="N12">
        <f>IF(F11&gt;0,ROUND(E11/F11,1),"-")</f>
        <v/>
      </c>
    </row>
    <row r="13">
      <c r="A13" t="inlineStr">
        <is>
          <t>rusty_sword</t>
        </is>
      </c>
      <c r="B13" t="inlineStr">
        <is>
          <t>Rusty Sword</t>
        </is>
      </c>
      <c r="C13" t="inlineStr">
        <is>
          <t>weapon</t>
        </is>
      </c>
      <c r="D13" t="n">
        <v>1</v>
      </c>
      <c r="E13" t="n">
        <v>3</v>
      </c>
      <c r="F13" t="inlineStr">
        <is>
          <t>N</t>
        </is>
      </c>
      <c r="G13" t="n">
        <v>1</v>
      </c>
      <c r="H13" t="n">
        <v>4000</v>
      </c>
      <c r="I13" t="inlineStr">
        <is>
          <t>Y</t>
        </is>
      </c>
      <c r="J13" t="inlineStr">
        <is>
          <t>Basic melee weapon</t>
        </is>
      </c>
      <c r="K13" t="n">
        <v>50</v>
      </c>
      <c r="L13" t="inlineStr">
        <is>
          <t>Common</t>
        </is>
      </c>
      <c r="M13" t="inlineStr">
        <is>
          <t>-</t>
        </is>
      </c>
      <c r="N13">
        <f>IF(F12&gt;0,ROUND(E12/F12,1),"-")</f>
        <v/>
      </c>
    </row>
    <row r="14">
      <c r="A14" t="inlineStr">
        <is>
          <t>iron_sword</t>
        </is>
      </c>
      <c r="B14" t="inlineStr">
        <is>
          <t>Iron Sword</t>
        </is>
      </c>
      <c r="C14" t="inlineStr">
        <is>
          <t>weapon</t>
        </is>
      </c>
      <c r="D14" t="n">
        <v>1</v>
      </c>
      <c r="E14" t="n">
        <v>3</v>
      </c>
      <c r="F14" t="inlineStr">
        <is>
          <t>N</t>
        </is>
      </c>
      <c r="G14" t="n">
        <v>1</v>
      </c>
      <c r="H14" t="n">
        <v>1500</v>
      </c>
      <c r="I14" t="inlineStr">
        <is>
          <t>Y</t>
        </is>
      </c>
      <c r="J14" t="inlineStr">
        <is>
          <t>Iron Sword</t>
        </is>
      </c>
      <c r="K14" t="n">
        <v>5</v>
      </c>
      <c r="L14" t="inlineStr">
        <is>
          <t>Uncommon</t>
        </is>
      </c>
      <c r="M14" t="inlineStr">
        <is>
          <t>5x Iron Bar</t>
        </is>
      </c>
      <c r="N14">
        <f>IF(F13&gt;0,ROUND(E13/F13,1),"-")</f>
        <v/>
      </c>
      <c r="P14" t="inlineStr">
        <is>
          <t>Y</t>
        </is>
      </c>
      <c r="Q14" t="inlineStr">
        <is>
          <t>weapon</t>
        </is>
      </c>
      <c r="R14" t="inlineStr">
        <is>
          <t>weapon_iron_sword</t>
        </is>
      </c>
      <c r="U14" t="inlineStr">
        <is>
          <t>iron_sword</t>
        </is>
      </c>
    </row>
    <row r="15">
      <c r="A15" t="inlineStr">
        <is>
          <t>machete</t>
        </is>
      </c>
      <c r="B15" t="inlineStr">
        <is>
          <t>Machete</t>
        </is>
      </c>
      <c r="C15" t="inlineStr">
        <is>
          <t>weapon</t>
        </is>
      </c>
      <c r="D15" t="n">
        <v>1</v>
      </c>
      <c r="E15" t="n">
        <v>3</v>
      </c>
      <c r="F15" t="inlineStr">
        <is>
          <t>N</t>
        </is>
      </c>
      <c r="G15" t="n">
        <v>1</v>
      </c>
      <c r="H15" t="n">
        <v>3000</v>
      </c>
      <c r="I15" t="inlineStr">
        <is>
          <t>Y</t>
        </is>
      </c>
      <c r="J15" t="inlineStr">
        <is>
          <t>Fast slashing weapon</t>
        </is>
      </c>
      <c r="K15" t="n">
        <v>80</v>
      </c>
      <c r="L15" t="inlineStr">
        <is>
          <t>Common</t>
        </is>
      </c>
      <c r="M15" t="inlineStr">
        <is>
          <t>3x Iron Bar</t>
        </is>
      </c>
      <c r="N15">
        <f>IF(F14&gt;0,ROUND(E14/F14,1),"-")</f>
        <v/>
      </c>
    </row>
    <row r="16">
      <c r="A16" t="inlineStr">
        <is>
          <t>sledgehammer</t>
        </is>
      </c>
      <c r="B16" t="inlineStr">
        <is>
          <t>Sledgehammer</t>
        </is>
      </c>
      <c r="C16" t="inlineStr">
        <is>
          <t>weapon</t>
        </is>
      </c>
      <c r="D16" t="n">
        <v>2</v>
      </c>
      <c r="E16" t="n">
        <v>4</v>
      </c>
      <c r="F16" t="inlineStr">
        <is>
          <t>N</t>
        </is>
      </c>
      <c r="G16" t="n">
        <v>1</v>
      </c>
      <c r="H16" t="n">
        <v>8000</v>
      </c>
      <c r="I16" t="inlineStr">
        <is>
          <t>Y</t>
        </is>
      </c>
      <c r="J16" t="inlineStr">
        <is>
          <t>Heavy blunt weapon</t>
        </is>
      </c>
      <c r="K16" t="n">
        <v>120</v>
      </c>
      <c r="L16" t="inlineStr">
        <is>
          <t>Uncommon</t>
        </is>
      </c>
      <c r="M16" t="inlineStr">
        <is>
          <t>4x Iron Bar, 2x Wood</t>
        </is>
      </c>
      <c r="N16">
        <f>IF(F15&gt;0,ROUND(E15/F15,1),"-")</f>
        <v/>
      </c>
    </row>
    <row r="17">
      <c r="A17" t="inlineStr">
        <is>
          <t>crossbow</t>
        </is>
      </c>
      <c r="B17" t="inlineStr">
        <is>
          <t>Crossbow</t>
        </is>
      </c>
      <c r="C17" t="inlineStr">
        <is>
          <t>weapon</t>
        </is>
      </c>
      <c r="D17" t="n">
        <v>2</v>
      </c>
      <c r="E17" t="n">
        <v>3</v>
      </c>
      <c r="F17" t="inlineStr">
        <is>
          <t>N</t>
        </is>
      </c>
      <c r="G17" t="n">
        <v>1</v>
      </c>
      <c r="H17" t="n">
        <v>5000</v>
      </c>
      <c r="I17" t="inlineStr">
        <is>
          <t>Y</t>
        </is>
      </c>
      <c r="J17" t="inlineStr">
        <is>
          <t>Ranged weapon</t>
        </is>
      </c>
      <c r="K17" t="n">
        <v>200</v>
      </c>
      <c r="L17" t="inlineStr">
        <is>
          <t>Uncommon</t>
        </is>
      </c>
      <c r="M17" t="inlineStr">
        <is>
          <t>3x Iron Bar, 4x Wood</t>
        </is>
      </c>
      <c r="N17">
        <f>IF(F16&gt;0,ROUND(E16/F16,1),"-")</f>
        <v/>
      </c>
    </row>
    <row r="18">
      <c r="A18" t="inlineStr">
        <is>
          <t>bolt</t>
        </is>
      </c>
      <c r="B18" t="inlineStr">
        <is>
          <t>Bolt</t>
        </is>
      </c>
      <c r="C18" t="inlineStr">
        <is>
          <t>ammo</t>
        </is>
      </c>
      <c r="D18" t="n">
        <v>1</v>
      </c>
      <c r="E18" t="n">
        <v>1</v>
      </c>
      <c r="F18" t="inlineStr">
        <is>
          <t>Y</t>
        </is>
      </c>
      <c r="G18" t="n">
        <v>50</v>
      </c>
      <c r="H18" t="n">
        <v>100</v>
      </c>
      <c r="I18" t="inlineStr">
        <is>
          <t>Y</t>
        </is>
      </c>
      <c r="J18" t="inlineStr">
        <is>
          <t>Crossbow ammo</t>
        </is>
      </c>
      <c r="K18" t="n">
        <v>2</v>
      </c>
      <c r="L18" t="inlineStr">
        <is>
          <t>Common</t>
        </is>
      </c>
      <c r="M18" t="inlineStr">
        <is>
          <t>1x Iron Bar = 10</t>
        </is>
      </c>
      <c r="N18">
        <f>IF(F17&gt;0,ROUND(E17/F17,1),"-")</f>
        <v/>
      </c>
    </row>
    <row r="19">
      <c r="A19" t="inlineStr">
        <is>
          <t>ragged_clothes</t>
        </is>
      </c>
      <c r="B19" t="inlineStr">
        <is>
          <t>Ragged Clothes</t>
        </is>
      </c>
      <c r="C19" t="inlineStr">
        <is>
          <t>armor</t>
        </is>
      </c>
      <c r="D19" t="n">
        <v>2</v>
      </c>
      <c r="E19" t="n">
        <v>2</v>
      </c>
      <c r="F19" t="inlineStr">
        <is>
          <t>N</t>
        </is>
      </c>
      <c r="G19" t="n">
        <v>1</v>
      </c>
      <c r="H19" t="n">
        <v>2000</v>
      </c>
      <c r="I19" t="inlineStr">
        <is>
          <t>Y</t>
        </is>
      </c>
      <c r="J19" t="inlineStr">
        <is>
          <t>Barely protection</t>
        </is>
      </c>
      <c r="K19" t="n">
        <v>10</v>
      </c>
      <c r="L19" t="inlineStr">
        <is>
          <t>Common</t>
        </is>
      </c>
      <c r="M19" t="inlineStr">
        <is>
          <t>-</t>
        </is>
      </c>
      <c r="N19">
        <f>IF(F18&gt;0,ROUND(E18/F18,1),"-")</f>
        <v/>
      </c>
    </row>
    <row r="20">
      <c r="A20" t="inlineStr">
        <is>
          <t>leather_armor</t>
        </is>
      </c>
      <c r="B20" t="inlineStr">
        <is>
          <t>Leather Armor</t>
        </is>
      </c>
      <c r="C20" t="inlineStr">
        <is>
          <t>armor</t>
        </is>
      </c>
      <c r="D20" t="n">
        <v>2</v>
      </c>
      <c r="E20" t="n">
        <v>3</v>
      </c>
      <c r="F20" t="inlineStr">
        <is>
          <t>N</t>
        </is>
      </c>
      <c r="G20" t="n">
        <v>1</v>
      </c>
      <c r="H20" t="n">
        <v>6000</v>
      </c>
      <c r="I20" t="inlineStr">
        <is>
          <t>Y</t>
        </is>
      </c>
      <c r="J20" t="inlineStr">
        <is>
          <t>Light protection</t>
        </is>
      </c>
      <c r="K20" t="n">
        <v>100</v>
      </c>
      <c r="L20" t="inlineStr">
        <is>
          <t>Common</t>
        </is>
      </c>
      <c r="M20" t="inlineStr">
        <is>
          <t>5x Leather</t>
        </is>
      </c>
      <c r="N20">
        <f>IF(F19&gt;0,ROUND(E19/F19,1),"-")</f>
        <v/>
      </c>
    </row>
    <row r="21">
      <c r="A21" t="inlineStr">
        <is>
          <t>iron_plate_armor</t>
        </is>
      </c>
      <c r="B21" t="inlineStr">
        <is>
          <t>Iron Plate Armor</t>
        </is>
      </c>
      <c r="C21" t="inlineStr">
        <is>
          <t>armor</t>
        </is>
      </c>
      <c r="D21" t="n">
        <v>3</v>
      </c>
      <c r="E21" t="n">
        <v>3</v>
      </c>
      <c r="F21" t="inlineStr">
        <is>
          <t>N</t>
        </is>
      </c>
      <c r="G21" t="n">
        <v>1</v>
      </c>
      <c r="H21" t="n">
        <v>15000</v>
      </c>
      <c r="I21" t="inlineStr">
        <is>
          <t>Y</t>
        </is>
      </c>
      <c r="J21" t="inlineStr">
        <is>
          <t>Heavy protection</t>
        </is>
      </c>
      <c r="K21" t="n">
        <v>300</v>
      </c>
      <c r="L21" t="inlineStr">
        <is>
          <t>Uncommon</t>
        </is>
      </c>
      <c r="M21" t="inlineStr">
        <is>
          <t>10x Iron Bar</t>
        </is>
      </c>
      <c r="N21">
        <f>IF(F20&gt;0,ROUND(E20/F20,1),"-")</f>
        <v/>
      </c>
    </row>
    <row r="22">
      <c r="A22" t="inlineStr">
        <is>
          <t>bandage</t>
        </is>
      </c>
      <c r="B22" t="inlineStr">
        <is>
          <t>Bandage</t>
        </is>
      </c>
      <c r="C22" t="inlineStr">
        <is>
          <t>consumable</t>
        </is>
      </c>
      <c r="D22" t="n">
        <v>1</v>
      </c>
      <c r="E22" t="n">
        <v>1</v>
      </c>
      <c r="F22" t="inlineStr">
        <is>
          <t>Y</t>
        </is>
      </c>
      <c r="G22" t="n">
        <v>20</v>
      </c>
      <c r="H22" t="n">
        <v>100</v>
      </c>
      <c r="I22" t="inlineStr">
        <is>
          <t>Y</t>
        </is>
      </c>
      <c r="J22" t="inlineStr">
        <is>
          <t>Heals 10 HP</t>
        </is>
      </c>
      <c r="K22" t="n">
        <v>5</v>
      </c>
      <c r="L22" t="inlineStr">
        <is>
          <t>Common</t>
        </is>
      </c>
      <c r="M22" t="inlineStr">
        <is>
          <t>2x Plant Fiber</t>
        </is>
      </c>
      <c r="N22">
        <f>IF(F21&gt;0,ROUND(E21/F21,1),"-")</f>
        <v/>
      </c>
    </row>
    <row r="23">
      <c r="A23" t="inlineStr">
        <is>
          <t>med_kit</t>
        </is>
      </c>
      <c r="B23" t="inlineStr">
        <is>
          <t>Med Kit</t>
        </is>
      </c>
      <c r="C23" t="inlineStr">
        <is>
          <t>consumable</t>
        </is>
      </c>
      <c r="D23" t="n">
        <v>2</v>
      </c>
      <c r="E23" t="n">
        <v>2</v>
      </c>
      <c r="F23" t="inlineStr">
        <is>
          <t>Y</t>
        </is>
      </c>
      <c r="G23" t="n">
        <v>10</v>
      </c>
      <c r="H23" t="n">
        <v>500</v>
      </c>
      <c r="I23" t="inlineStr">
        <is>
          <t>Y</t>
        </is>
      </c>
      <c r="J23" t="inlineStr">
        <is>
          <t>Heals 50 HP</t>
        </is>
      </c>
      <c r="K23" t="n">
        <v>50</v>
      </c>
      <c r="L23" t="inlineStr">
        <is>
          <t>Uncommon</t>
        </is>
      </c>
      <c r="M23" t="inlineStr">
        <is>
          <t>5x Bandage, Alcohol</t>
        </is>
      </c>
      <c r="N23">
        <f>IF(F22&gt;0,ROUND(E22/F22,1),"-")</f>
        <v/>
      </c>
    </row>
    <row r="24">
      <c r="A24" t="inlineStr">
        <is>
          <t>dried_meat</t>
        </is>
      </c>
      <c r="B24" t="inlineStr">
        <is>
          <t>Dried Meat</t>
        </is>
      </c>
      <c r="C24" t="inlineStr">
        <is>
          <t>food</t>
        </is>
      </c>
      <c r="D24" t="n">
        <v>1</v>
      </c>
      <c r="E24" t="n">
        <v>1</v>
      </c>
      <c r="F24" t="inlineStr">
        <is>
          <t>Y</t>
        </is>
      </c>
      <c r="G24" t="n">
        <v>20</v>
      </c>
      <c r="H24" t="n">
        <v>300</v>
      </c>
      <c r="I24" t="inlineStr">
        <is>
          <t>Y</t>
        </is>
      </c>
      <c r="J24" t="inlineStr">
        <is>
          <t>Restores 20 hunger</t>
        </is>
      </c>
      <c r="K24" t="n">
        <v>8</v>
      </c>
      <c r="L24" t="inlineStr">
        <is>
          <t>Common</t>
        </is>
      </c>
      <c r="M24" t="inlineStr">
        <is>
          <t>1x Raw Meat</t>
        </is>
      </c>
      <c r="N24">
        <f>IF(F23&gt;0,ROUND(E23/F23,1),"-")</f>
        <v/>
      </c>
      <c r="O24" t="n">
        <v>20</v>
      </c>
    </row>
    <row r="25">
      <c r="A25" t="inlineStr">
        <is>
          <t>cactus_flesh</t>
        </is>
      </c>
      <c r="B25" t="inlineStr">
        <is>
          <t>Cactus Flesh</t>
        </is>
      </c>
      <c r="C25" t="inlineStr">
        <is>
          <t>food</t>
        </is>
      </c>
      <c r="D25" t="n">
        <v>1</v>
      </c>
      <c r="E25" t="n">
        <v>1</v>
      </c>
      <c r="F25" t="inlineStr">
        <is>
          <t>Y</t>
        </is>
      </c>
      <c r="G25" t="n">
        <v>20</v>
      </c>
      <c r="H25" t="n">
        <v>200</v>
      </c>
      <c r="I25" t="inlineStr">
        <is>
          <t>Y</t>
        </is>
      </c>
      <c r="J25" t="inlineStr">
        <is>
          <t>Restores 10 hunger</t>
        </is>
      </c>
      <c r="K25" t="n">
        <v>3</v>
      </c>
      <c r="L25" t="inlineStr">
        <is>
          <t>Common</t>
        </is>
      </c>
      <c r="M25" t="inlineStr">
        <is>
          <t>-</t>
        </is>
      </c>
      <c r="N25">
        <f>IF(F24&gt;0,ROUND(E24/F24,1),"-")</f>
        <v/>
      </c>
      <c r="O25" t="n">
        <v>10</v>
      </c>
    </row>
    <row r="26">
      <c r="A26" t="inlineStr">
        <is>
          <t>water_flask</t>
        </is>
      </c>
      <c r="B26" t="inlineStr">
        <is>
          <t>Water Flask</t>
        </is>
      </c>
      <c r="C26" t="inlineStr">
        <is>
          <t>consumable</t>
        </is>
      </c>
      <c r="D26" t="n">
        <v>1</v>
      </c>
      <c r="E26" t="n">
        <v>2</v>
      </c>
      <c r="F26" t="inlineStr">
        <is>
          <t>Y</t>
        </is>
      </c>
      <c r="G26" t="n">
        <v>5</v>
      </c>
      <c r="H26" t="n">
        <v>1000</v>
      </c>
      <c r="I26" t="inlineStr">
        <is>
          <t>Y</t>
        </is>
      </c>
      <c r="J26" t="inlineStr">
        <is>
          <t>Holds water</t>
        </is>
      </c>
      <c r="K26" t="n">
        <v>15</v>
      </c>
      <c r="L26" t="inlineStr">
        <is>
          <t>Common</t>
        </is>
      </c>
      <c r="M26" t="inlineStr">
        <is>
          <t>2x Leather</t>
        </is>
      </c>
      <c r="N26">
        <f>IF(F25&gt;0,ROUND(E25/F25,1),"-")</f>
        <v/>
      </c>
    </row>
    <row r="27">
      <c r="A27" t="inlineStr">
        <is>
          <t>data_chip</t>
        </is>
      </c>
      <c r="B27" t="inlineStr">
        <is>
          <t>Data Chip</t>
        </is>
      </c>
      <c r="C27" t="inlineStr">
        <is>
          <t>quest</t>
        </is>
      </c>
      <c r="D27" t="n">
        <v>1</v>
      </c>
      <c r="E27" t="n">
        <v>1</v>
      </c>
      <c r="F27" t="inlineStr">
        <is>
          <t>Y</t>
        </is>
      </c>
      <c r="G27" t="n">
        <v>5</v>
      </c>
      <c r="H27" t="n">
        <v>100</v>
      </c>
      <c r="I27" t="inlineStr">
        <is>
          <t>Y</t>
        </is>
      </c>
      <c r="J27" t="inlineStr">
        <is>
          <t>Contains ancient data</t>
        </is>
      </c>
      <c r="K27" t="n">
        <v>500</v>
      </c>
      <c r="L27" t="inlineStr">
        <is>
          <t>Rare</t>
        </is>
      </c>
      <c r="M27" t="inlineStr">
        <is>
          <t>-</t>
        </is>
      </c>
      <c r="N27">
        <f>IF(F26&gt;0,ROUND(E26/F26,1),"-")</f>
        <v/>
      </c>
    </row>
    <row r="28">
      <c r="A28" t="inlineStr">
        <is>
          <t>prispod</t>
        </is>
      </c>
      <c r="B28" t="inlineStr">
        <is>
          <t>Prispod</t>
        </is>
      </c>
      <c r="C28" t="inlineStr">
        <is>
          <t>food</t>
        </is>
      </c>
      <c r="D28" t="n">
        <v>1</v>
      </c>
      <c r="E28" t="n">
        <v>1</v>
      </c>
      <c r="F28" t="inlineStr">
        <is>
          <t>Y</t>
        </is>
      </c>
      <c r="G28" t="n">
        <v>20</v>
      </c>
      <c r="H28" t="n">
        <v>250</v>
      </c>
      <c r="I28" t="inlineStr">
        <is>
          <t>Y</t>
        </is>
      </c>
      <c r="J28" t="inlineStr">
        <is>
          <t>Edible prispod cultivated on farms.</t>
        </is>
      </c>
      <c r="K28" t="n">
        <v>5</v>
      </c>
      <c r="O28" t="n">
        <v>25</v>
      </c>
    </row>
    <row r="29">
      <c r="A29" t="inlineStr">
        <is>
          <t>peasant_body</t>
        </is>
      </c>
      <c r="B29" t="inlineStr">
        <is>
          <t>Peasant Body</t>
        </is>
      </c>
      <c r="C29" t="inlineStr">
        <is>
          <t>armor</t>
        </is>
      </c>
      <c r="D29" t="n">
        <v>3</v>
      </c>
      <c r="E29" t="n">
        <v>3</v>
      </c>
      <c r="F29" t="inlineStr">
        <is>
          <t>N</t>
        </is>
      </c>
      <c r="G29" t="n">
        <v>1</v>
      </c>
      <c r="H29" t="n">
        <v>1200</v>
      </c>
      <c r="I29" t="inlineStr">
        <is>
          <t>Y</t>
        </is>
      </c>
      <c r="J29" t="inlineStr">
        <is>
          <t>Peasant Body</t>
        </is>
      </c>
      <c r="K29" t="n">
        <v>5</v>
      </c>
      <c r="P29" t="inlineStr">
        <is>
          <t>Y</t>
        </is>
      </c>
      <c r="Q29" t="inlineStr">
        <is>
          <t>body</t>
        </is>
      </c>
      <c r="S29" t="inlineStr">
        <is>
          <t>armor_peasant_body</t>
        </is>
      </c>
    </row>
    <row r="30">
      <c r="A30" t="inlineStr">
        <is>
          <t>peasant_arms</t>
        </is>
      </c>
      <c r="B30" t="inlineStr">
        <is>
          <t>Peasant Arms</t>
        </is>
      </c>
      <c r="C30" t="inlineStr">
        <is>
          <t>armor</t>
        </is>
      </c>
      <c r="D30" t="n">
        <v>2</v>
      </c>
      <c r="E30" t="n">
        <v>2</v>
      </c>
      <c r="F30" t="inlineStr">
        <is>
          <t>N</t>
        </is>
      </c>
      <c r="G30" t="n">
        <v>1</v>
      </c>
      <c r="H30" t="n">
        <v>600</v>
      </c>
      <c r="I30" t="inlineStr">
        <is>
          <t>Y</t>
        </is>
      </c>
      <c r="J30" t="inlineStr">
        <is>
          <t>Peasant Arms</t>
        </is>
      </c>
      <c r="K30" t="n">
        <v>5</v>
      </c>
      <c r="P30" t="inlineStr">
        <is>
          <t>Y</t>
        </is>
      </c>
      <c r="Q30" t="inlineStr">
        <is>
          <t>arms</t>
        </is>
      </c>
      <c r="S30" t="inlineStr">
        <is>
          <t>armor_peasant_arms</t>
        </is>
      </c>
    </row>
    <row r="31">
      <c r="A31" t="inlineStr">
        <is>
          <t>peasant_legs</t>
        </is>
      </c>
      <c r="B31" t="inlineStr">
        <is>
          <t>Peasant Legs</t>
        </is>
      </c>
      <c r="C31" t="inlineStr">
        <is>
          <t>armor</t>
        </is>
      </c>
      <c r="D31" t="n">
        <v>2</v>
      </c>
      <c r="E31" t="n">
        <v>3</v>
      </c>
      <c r="F31" t="inlineStr">
        <is>
          <t>N</t>
        </is>
      </c>
      <c r="G31" t="n">
        <v>1</v>
      </c>
      <c r="H31" t="n">
        <v>900</v>
      </c>
      <c r="I31" t="inlineStr">
        <is>
          <t>Y</t>
        </is>
      </c>
      <c r="J31" t="inlineStr">
        <is>
          <t>Peasant Legs</t>
        </is>
      </c>
      <c r="K31" t="n">
        <v>5</v>
      </c>
      <c r="P31" t="inlineStr">
        <is>
          <t>Y</t>
        </is>
      </c>
      <c r="Q31" t="inlineStr">
        <is>
          <t>legs</t>
        </is>
      </c>
      <c r="S31" t="inlineStr">
        <is>
          <t>armor_peasant_legs</t>
        </is>
      </c>
    </row>
    <row r="32">
      <c r="A32" t="inlineStr">
        <is>
          <t>peasant_feet</t>
        </is>
      </c>
      <c r="B32" t="inlineStr">
        <is>
          <t>Peasant Feet</t>
        </is>
      </c>
      <c r="C32" t="inlineStr">
        <is>
          <t>armor</t>
        </is>
      </c>
      <c r="D32" t="n">
        <v>2</v>
      </c>
      <c r="E32" t="n">
        <v>2</v>
      </c>
      <c r="F32" t="inlineStr">
        <is>
          <t>N</t>
        </is>
      </c>
      <c r="G32" t="n">
        <v>1</v>
      </c>
      <c r="H32" t="n">
        <v>700</v>
      </c>
      <c r="I32" t="inlineStr">
        <is>
          <t>Y</t>
        </is>
      </c>
      <c r="J32" t="inlineStr">
        <is>
          <t>Peasant Feet</t>
        </is>
      </c>
      <c r="K32" t="n">
        <v>5</v>
      </c>
      <c r="P32" t="inlineStr">
        <is>
          <t>Y</t>
        </is>
      </c>
      <c r="Q32" t="inlineStr">
        <is>
          <t>feet</t>
        </is>
      </c>
      <c r="S32" t="inlineStr">
        <is>
          <t>armor_peasant_feet</t>
        </is>
      </c>
    </row>
    <row r="33">
      <c r="A33" t="inlineStr">
        <is>
          <t>ranger_hood</t>
        </is>
      </c>
      <c r="B33" t="inlineStr">
        <is>
          <t>Ranger Hood</t>
        </is>
      </c>
      <c r="C33" t="inlineStr">
        <is>
          <t>armor</t>
        </is>
      </c>
      <c r="D33" t="n">
        <v>2</v>
      </c>
      <c r="E33" t="n">
        <v>2</v>
      </c>
      <c r="F33" t="inlineStr">
        <is>
          <t>N</t>
        </is>
      </c>
      <c r="G33" t="n">
        <v>1</v>
      </c>
      <c r="H33" t="n">
        <v>800</v>
      </c>
      <c r="I33" t="inlineStr">
        <is>
          <t>Y</t>
        </is>
      </c>
      <c r="J33" t="inlineStr">
        <is>
          <t>Ranger Hood</t>
        </is>
      </c>
      <c r="K33" t="n">
        <v>5</v>
      </c>
      <c r="P33" t="inlineStr">
        <is>
          <t>Y</t>
        </is>
      </c>
      <c r="Q33" t="inlineStr">
        <is>
          <t>head</t>
        </is>
      </c>
      <c r="S33" t="inlineStr">
        <is>
          <t>armor_ranger_hood</t>
        </is>
      </c>
    </row>
    <row r="34">
      <c r="A34" t="inlineStr">
        <is>
          <t>ranger_body</t>
        </is>
      </c>
      <c r="B34" t="inlineStr">
        <is>
          <t>Ranger Body</t>
        </is>
      </c>
      <c r="C34" t="inlineStr">
        <is>
          <t>armor</t>
        </is>
      </c>
      <c r="D34" t="n">
        <v>3</v>
      </c>
      <c r="E34" t="n">
        <v>3</v>
      </c>
      <c r="F34" t="inlineStr">
        <is>
          <t>N</t>
        </is>
      </c>
      <c r="G34" t="n">
        <v>1</v>
      </c>
      <c r="H34" t="n">
        <v>1200</v>
      </c>
      <c r="I34" t="inlineStr">
        <is>
          <t>Y</t>
        </is>
      </c>
      <c r="J34" t="inlineStr">
        <is>
          <t>Ranger Body</t>
        </is>
      </c>
      <c r="K34" t="n">
        <v>5</v>
      </c>
      <c r="P34" t="inlineStr">
        <is>
          <t>Y</t>
        </is>
      </c>
      <c r="Q34" t="inlineStr">
        <is>
          <t>body</t>
        </is>
      </c>
      <c r="S34" t="inlineStr">
        <is>
          <t>armor_ranger_body</t>
        </is>
      </c>
    </row>
    <row r="35">
      <c r="A35" t="inlineStr">
        <is>
          <t>ranger_arms</t>
        </is>
      </c>
      <c r="B35" t="inlineStr">
        <is>
          <t>Ranger Arms</t>
        </is>
      </c>
      <c r="C35" t="inlineStr">
        <is>
          <t>armor</t>
        </is>
      </c>
      <c r="D35" t="n">
        <v>2</v>
      </c>
      <c r="E35" t="n">
        <v>2</v>
      </c>
      <c r="F35" t="inlineStr">
        <is>
          <t>N</t>
        </is>
      </c>
      <c r="G35" t="n">
        <v>1</v>
      </c>
      <c r="H35" t="n">
        <v>600</v>
      </c>
      <c r="I35" t="inlineStr">
        <is>
          <t>Y</t>
        </is>
      </c>
      <c r="J35" t="inlineStr">
        <is>
          <t>Ranger Arms</t>
        </is>
      </c>
      <c r="K35" t="n">
        <v>5</v>
      </c>
      <c r="P35" t="inlineStr">
        <is>
          <t>Y</t>
        </is>
      </c>
      <c r="Q35" t="inlineStr">
        <is>
          <t>arms</t>
        </is>
      </c>
      <c r="S35" t="inlineStr">
        <is>
          <t>armor_ranger_arms</t>
        </is>
      </c>
    </row>
    <row r="36">
      <c r="A36" t="inlineStr">
        <is>
          <t>ranger_legs</t>
        </is>
      </c>
      <c r="B36" t="inlineStr">
        <is>
          <t>Ranger Legs</t>
        </is>
      </c>
      <c r="C36" t="inlineStr">
        <is>
          <t>armor</t>
        </is>
      </c>
      <c r="D36" t="n">
        <v>2</v>
      </c>
      <c r="E36" t="n">
        <v>3</v>
      </c>
      <c r="F36" t="inlineStr">
        <is>
          <t>N</t>
        </is>
      </c>
      <c r="G36" t="n">
        <v>1</v>
      </c>
      <c r="H36" t="n">
        <v>900</v>
      </c>
      <c r="I36" t="inlineStr">
        <is>
          <t>Y</t>
        </is>
      </c>
      <c r="J36" t="inlineStr">
        <is>
          <t>Ranger Legs</t>
        </is>
      </c>
      <c r="K36" t="n">
        <v>5</v>
      </c>
      <c r="P36" t="inlineStr">
        <is>
          <t>Y</t>
        </is>
      </c>
      <c r="Q36" t="inlineStr">
        <is>
          <t>legs</t>
        </is>
      </c>
      <c r="S36" t="inlineStr">
        <is>
          <t>armor_ranger_legs</t>
        </is>
      </c>
    </row>
    <row r="37">
      <c r="A37" t="inlineStr">
        <is>
          <t>ranger_feet</t>
        </is>
      </c>
      <c r="B37" t="inlineStr">
        <is>
          <t>Ranger Feet</t>
        </is>
      </c>
      <c r="C37" t="inlineStr">
        <is>
          <t>armor</t>
        </is>
      </c>
      <c r="D37" t="n">
        <v>2</v>
      </c>
      <c r="E37" t="n">
        <v>2</v>
      </c>
      <c r="F37" t="inlineStr">
        <is>
          <t>N</t>
        </is>
      </c>
      <c r="G37" t="n">
        <v>1</v>
      </c>
      <c r="H37" t="n">
        <v>700</v>
      </c>
      <c r="I37" t="inlineStr">
        <is>
          <t>Y</t>
        </is>
      </c>
      <c r="J37" t="inlineStr">
        <is>
          <t>Ranger Feet</t>
        </is>
      </c>
      <c r="K37" t="n">
        <v>5</v>
      </c>
      <c r="P37" t="inlineStr">
        <is>
          <t>Y</t>
        </is>
      </c>
      <c r="Q37" t="inlineStr">
        <is>
          <t>feet</t>
        </is>
      </c>
      <c r="S37" t="inlineStr">
        <is>
          <t>armor_ranger_feet</t>
        </is>
      </c>
    </row>
    <row r="38">
      <c r="A38" t="inlineStr">
        <is>
          <t>iron_dagger</t>
        </is>
      </c>
      <c r="B38" t="inlineStr">
        <is>
          <t>Iron Dagger</t>
        </is>
      </c>
      <c r="C38" t="inlineStr">
        <is>
          <t>weapon</t>
        </is>
      </c>
      <c r="D38" t="n">
        <v>1</v>
      </c>
      <c r="E38" t="n">
        <v>2</v>
      </c>
      <c r="F38" t="inlineStr">
        <is>
          <t>N</t>
        </is>
      </c>
      <c r="G38" t="n">
        <v>1</v>
      </c>
      <c r="H38" t="n">
        <v>500</v>
      </c>
      <c r="I38" t="inlineStr">
        <is>
          <t>Y</t>
        </is>
      </c>
      <c r="J38" t="inlineStr">
        <is>
          <t>Iron Dagger</t>
        </is>
      </c>
      <c r="K38" t="n">
        <v>5</v>
      </c>
      <c r="P38" t="inlineStr">
        <is>
          <t>Y</t>
        </is>
      </c>
      <c r="Q38" t="inlineStr">
        <is>
          <t>weapon</t>
        </is>
      </c>
      <c r="R38" t="inlineStr">
        <is>
          <t>weapon_iron_dagger</t>
        </is>
      </c>
      <c r="U38" t="inlineStr">
        <is>
          <t>iron_dagger</t>
        </is>
      </c>
    </row>
    <row r="39">
      <c r="A39" t="inlineStr">
        <is>
          <t>iron_hand_axe</t>
        </is>
      </c>
      <c r="B39" t="inlineStr">
        <is>
          <t>Iron Hand Axe</t>
        </is>
      </c>
      <c r="C39" t="inlineStr">
        <is>
          <t>weapon</t>
        </is>
      </c>
      <c r="D39" t="n">
        <v>1</v>
      </c>
      <c r="E39" t="n">
        <v>2</v>
      </c>
      <c r="F39" t="inlineStr">
        <is>
          <t>N</t>
        </is>
      </c>
      <c r="G39" t="n">
        <v>1</v>
      </c>
      <c r="H39" t="n">
        <v>900</v>
      </c>
      <c r="I39" t="inlineStr">
        <is>
          <t>Y</t>
        </is>
      </c>
      <c r="J39" t="inlineStr">
        <is>
          <t>Iron Hand Axe</t>
        </is>
      </c>
      <c r="K39" t="n">
        <v>5</v>
      </c>
      <c r="P39" t="inlineStr">
        <is>
          <t>Y</t>
        </is>
      </c>
      <c r="Q39" t="inlineStr">
        <is>
          <t>weapon</t>
        </is>
      </c>
      <c r="R39" t="inlineStr">
        <is>
          <t>weapon_iron_hand_axe</t>
        </is>
      </c>
      <c r="U39" t="inlineStr">
        <is>
          <t>iron_hand_axe</t>
        </is>
      </c>
    </row>
    <row r="40">
      <c r="A40" t="inlineStr">
        <is>
          <t>iron_greatsword</t>
        </is>
      </c>
      <c r="B40" t="inlineStr">
        <is>
          <t>Iron Greatsword</t>
        </is>
      </c>
      <c r="C40" t="inlineStr">
        <is>
          <t>weapon</t>
        </is>
      </c>
      <c r="D40" t="n">
        <v>1</v>
      </c>
      <c r="E40" t="n">
        <v>4</v>
      </c>
      <c r="F40" t="inlineStr">
        <is>
          <t>N</t>
        </is>
      </c>
      <c r="G40" t="n">
        <v>1</v>
      </c>
      <c r="H40" t="n">
        <v>2200</v>
      </c>
      <c r="I40" t="inlineStr">
        <is>
          <t>Y</t>
        </is>
      </c>
      <c r="J40" t="inlineStr">
        <is>
          <t>Iron Greatsword</t>
        </is>
      </c>
      <c r="K40" t="n">
        <v>5</v>
      </c>
      <c r="P40" t="inlineStr">
        <is>
          <t>Y</t>
        </is>
      </c>
      <c r="Q40" t="inlineStr">
        <is>
          <t>weapon</t>
        </is>
      </c>
      <c r="R40" t="inlineStr">
        <is>
          <t>weapon_iron_greatsword</t>
        </is>
      </c>
      <c r="U40" t="inlineStr">
        <is>
          <t>iron_greatsword</t>
        </is>
      </c>
    </row>
    <row r="41">
      <c r="A41" t="inlineStr">
        <is>
          <t>iron_greataxe</t>
        </is>
      </c>
      <c r="B41" t="inlineStr">
        <is>
          <t>Iron Greataxe</t>
        </is>
      </c>
      <c r="C41" t="inlineStr">
        <is>
          <t>weapon</t>
        </is>
      </c>
      <c r="D41" t="n">
        <v>2</v>
      </c>
      <c r="E41" t="n">
        <v>3</v>
      </c>
      <c r="F41" t="inlineStr">
        <is>
          <t>N</t>
        </is>
      </c>
      <c r="G41" t="n">
        <v>1</v>
      </c>
      <c r="H41" t="n">
        <v>2400</v>
      </c>
      <c r="I41" t="inlineStr">
        <is>
          <t>Y</t>
        </is>
      </c>
      <c r="J41" t="inlineStr">
        <is>
          <t>Iron Greataxe</t>
        </is>
      </c>
      <c r="K41" t="n">
        <v>5</v>
      </c>
      <c r="P41" t="inlineStr">
        <is>
          <t>Y</t>
        </is>
      </c>
      <c r="Q41" t="inlineStr">
        <is>
          <t>weapon</t>
        </is>
      </c>
      <c r="R41" t="inlineStr">
        <is>
          <t>weapon_iron_greataxe</t>
        </is>
      </c>
      <c r="U41" t="inlineStr">
        <is>
          <t>iron_greataxe</t>
        </is>
      </c>
    </row>
    <row r="42">
      <c r="A42" t="inlineStr">
        <is>
          <t>iron_warhammer</t>
        </is>
      </c>
      <c r="B42" t="inlineStr">
        <is>
          <t>Iron Warhammer</t>
        </is>
      </c>
      <c r="C42" t="inlineStr">
        <is>
          <t>weapon</t>
        </is>
      </c>
      <c r="D42" t="n">
        <v>1</v>
      </c>
      <c r="E42" t="n">
        <v>4</v>
      </c>
      <c r="F42" t="inlineStr">
        <is>
          <t>N</t>
        </is>
      </c>
      <c r="G42" t="n">
        <v>1</v>
      </c>
      <c r="H42" t="n">
        <v>2100</v>
      </c>
      <c r="I42" t="inlineStr">
        <is>
          <t>Y</t>
        </is>
      </c>
      <c r="J42" t="inlineStr">
        <is>
          <t>Iron Warhammer</t>
        </is>
      </c>
      <c r="K42" t="n">
        <v>5</v>
      </c>
      <c r="P42" t="inlineStr">
        <is>
          <t>Y</t>
        </is>
      </c>
      <c r="Q42" t="inlineStr">
        <is>
          <t>weapon</t>
        </is>
      </c>
      <c r="R42" t="inlineStr">
        <is>
          <t>weapon_iron_warhammer</t>
        </is>
      </c>
      <c r="U42" t="inlineStr">
        <is>
          <t>iron_warhammer</t>
        </is>
      </c>
    </row>
    <row r="43">
      <c r="A43" t="inlineStr">
        <is>
          <t>wooden_bow</t>
        </is>
      </c>
      <c r="B43" t="inlineStr">
        <is>
          <t>Wooden Bow</t>
        </is>
      </c>
      <c r="C43" t="inlineStr">
        <is>
          <t>weapon</t>
        </is>
      </c>
      <c r="D43" t="n">
        <v>1</v>
      </c>
      <c r="E43" t="n">
        <v>3</v>
      </c>
      <c r="F43" t="inlineStr">
        <is>
          <t>N</t>
        </is>
      </c>
      <c r="G43" t="n">
        <v>1</v>
      </c>
      <c r="H43" t="n">
        <v>900</v>
      </c>
      <c r="I43" t="inlineStr">
        <is>
          <t>Y</t>
        </is>
      </c>
      <c r="J43" t="inlineStr">
        <is>
          <t>Wooden Bow</t>
        </is>
      </c>
      <c r="K43" t="n">
        <v>5</v>
      </c>
      <c r="P43" t="inlineStr">
        <is>
          <t>Y</t>
        </is>
      </c>
      <c r="Q43" t="inlineStr">
        <is>
          <t>weapon</t>
        </is>
      </c>
      <c r="R43" t="inlineStr">
        <is>
          <t>weapon_wooden_bow</t>
        </is>
      </c>
      <c r="U43" t="inlineStr">
        <is>
          <t>wooden_bow</t>
        </is>
      </c>
    </row>
    <row r="44">
      <c r="A44" t="inlineStr">
        <is>
          <t>leather_backpack</t>
        </is>
      </c>
      <c r="B44" t="inlineStr">
        <is>
          <t>Leather Backpack</t>
        </is>
      </c>
      <c r="C44" t="inlineStr">
        <is>
          <t>container</t>
        </is>
      </c>
      <c r="D44" t="n">
        <v>2</v>
      </c>
      <c r="E44" t="n">
        <v>3</v>
      </c>
      <c r="F44" t="inlineStr">
        <is>
          <t>N</t>
        </is>
      </c>
      <c r="G44" t="n">
        <v>1</v>
      </c>
      <c r="H44" t="n">
        <v>500</v>
      </c>
      <c r="I44" t="inlineStr">
        <is>
          <t>Y</t>
        </is>
      </c>
      <c r="J44" t="inlineStr">
        <is>
          <t>Leather Backpack</t>
        </is>
      </c>
      <c r="K44" t="n">
        <v>5</v>
      </c>
      <c r="P44" t="inlineStr">
        <is>
          <t>Y</t>
        </is>
      </c>
      <c r="Q44" t="inlineStr">
        <is>
          <t>backpack</t>
        </is>
      </c>
      <c r="T44" t="inlineStr">
        <is>
          <t>backpack_basic_internal</t>
        </is>
      </c>
      <c r="U44" t="inlineStr">
        <is>
          <t>leather_backpack</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C26" sqref="C26"/>
    </sheetView>
  </sheetViews>
  <sheetFormatPr baseColWidth="8" defaultRowHeight="15"/>
  <cols>
    <col width="13.42578125" customWidth="1" style="36" min="1" max="1"/>
    <col width="17.85546875" bestFit="1" customWidth="1" style="36" min="2" max="2"/>
    <col width="39.42578125" customWidth="1" style="36" min="3" max="3"/>
    <col width="18.28515625" customWidth="1" style="36" min="5" max="5"/>
    <col width="17.28515625" bestFit="1" customWidth="1" style="36" min="6" max="7"/>
    <col width="17.28515625" customWidth="1" style="36" min="8" max="8"/>
    <col width="18.28515625" customWidth="1" style="36" min="9" max="9"/>
  </cols>
  <sheetData>
    <row r="1">
      <c r="A1" s="8" t="inlineStr">
        <is>
          <t>Doodad ID</t>
        </is>
      </c>
      <c r="B1" s="8" t="inlineStr">
        <is>
          <t>Name</t>
        </is>
      </c>
      <c r="C1" s="8" t="inlineStr">
        <is>
          <t>Description</t>
        </is>
      </c>
      <c r="D1" s="8" t="inlineStr">
        <is>
          <t>Category</t>
        </is>
      </c>
      <c r="E1" s="8" t="inlineStr">
        <is>
          <t>File Path</t>
        </is>
      </c>
      <c r="F1" s="8" t="inlineStr">
        <is>
          <t>Min Size</t>
        </is>
      </c>
      <c r="G1" s="8" t="inlineStr">
        <is>
          <t>Max Size</t>
        </is>
      </c>
      <c r="H1" s="8" t="inlineStr">
        <is>
          <t>Spawn Weight</t>
        </is>
      </c>
      <c r="I1" s="8" t="inlineStr">
        <is>
          <t>Random Rotation</t>
        </is>
      </c>
      <c r="J1" s="29" t="inlineStr">
        <is>
          <t>Enabled</t>
        </is>
      </c>
    </row>
    <row r="2">
      <c r="A2" t="inlineStr">
        <is>
          <t>D-0001</t>
        </is>
      </c>
      <c r="B2" t="inlineStr">
        <is>
          <t>Basic Tree</t>
        </is>
      </c>
      <c r="C2" t="inlineStr">
        <is>
          <t>Basic Tree for Testing</t>
        </is>
      </c>
      <c r="D2" t="inlineStr">
        <is>
          <t>Flora</t>
        </is>
      </c>
      <c r="E2" t="inlineStr">
        <is>
          <t>\doodads\tree</t>
        </is>
      </c>
      <c r="F2" t="n">
        <v>0.5</v>
      </c>
      <c r="G2" t="n">
        <v>1.5</v>
      </c>
      <c r="H2" t="n">
        <v>1</v>
      </c>
      <c r="I2" t="inlineStr">
        <is>
          <t>Y</t>
        </is>
      </c>
      <c r="J2" t="inlineStr">
        <is>
          <t>Y</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Faction Key</t>
        </is>
      </c>
      <c r="B1" s="18" t="inlineStr">
        <is>
          <t>Faction ID</t>
        </is>
      </c>
      <c r="C1" s="18" t="inlineStr">
        <is>
          <t>Name</t>
        </is>
      </c>
      <c r="D1" s="18" t="inlineStr">
        <is>
          <t>Territory</t>
        </is>
      </c>
      <c r="E1" s="18" t="inlineStr">
        <is>
          <t>Strength</t>
        </is>
      </c>
      <c r="F1" s="18" t="inlineStr">
        <is>
          <t>Trade?</t>
        </is>
      </c>
      <c r="G1" s="18" t="inlineStr">
        <is>
          <t>Recruitable?</t>
        </is>
      </c>
      <c r="H1" s="18" t="inlineStr">
        <is>
          <t>Description</t>
        </is>
      </c>
      <c r="I1" t="inlineStr">
        <is>
          <t>Enabled</t>
        </is>
      </c>
    </row>
    <row r="2">
      <c r="A2" t="inlineStr">
        <is>
          <t>player</t>
        </is>
      </c>
      <c r="B2" t="inlineStr">
        <is>
          <t>F-0001</t>
        </is>
      </c>
      <c r="C2" t="inlineStr">
        <is>
          <t>Player</t>
        </is>
      </c>
      <c r="D2" t="inlineStr">
        <is>
          <t>Variable</t>
        </is>
      </c>
      <c r="E2" t="inlineStr">
        <is>
          <t>Variable</t>
        </is>
      </c>
      <c r="F2" t="inlineStr">
        <is>
          <t>No</t>
        </is>
      </c>
      <c r="G2" t="inlineStr">
        <is>
          <t>Yes</t>
        </is>
      </c>
      <c r="H2" t="inlineStr">
        <is>
          <t>The player's faction</t>
        </is>
      </c>
      <c r="I2" t="inlineStr">
        <is>
          <t>Y</t>
        </is>
      </c>
    </row>
    <row r="3">
      <c r="A3" t="inlineStr">
        <is>
          <t>wild</t>
        </is>
      </c>
      <c r="B3" t="inlineStr">
        <is>
          <t>F-0002</t>
        </is>
      </c>
      <c r="C3" t="inlineStr">
        <is>
          <t>Wild</t>
        </is>
      </c>
      <c r="D3" t="inlineStr">
        <is>
          <t>Wilderness</t>
        </is>
      </c>
      <c r="E3" t="inlineStr">
        <is>
          <t>High</t>
        </is>
      </c>
      <c r="F3" t="inlineStr">
        <is>
          <t>No</t>
        </is>
      </c>
      <c r="G3" t="inlineStr">
        <is>
          <t>No</t>
        </is>
      </c>
      <c r="H3" t="inlineStr">
        <is>
          <t>Wild creatures and beasts</t>
        </is>
      </c>
      <c r="I3" t="inlineStr">
        <is>
          <t>Y</t>
        </is>
      </c>
    </row>
    <row r="4">
      <c r="A4" t="inlineStr">
        <is>
          <t>bandits</t>
        </is>
      </c>
      <c r="B4" t="inlineStr">
        <is>
          <t>F-0003</t>
        </is>
      </c>
      <c r="C4" t="inlineStr">
        <is>
          <t>Bandits</t>
        </is>
      </c>
      <c r="D4" t="inlineStr">
        <is>
          <t>Roads, Ruins</t>
        </is>
      </c>
      <c r="E4" t="inlineStr">
        <is>
          <t>Medium</t>
        </is>
      </c>
      <c r="F4" t="inlineStr">
        <is>
          <t>No</t>
        </is>
      </c>
      <c r="G4" t="inlineStr">
        <is>
          <t>No</t>
        </is>
      </c>
      <c r="H4" t="inlineStr">
        <is>
          <t>Opportunistic raiders</t>
        </is>
      </c>
      <c r="I4" t="inlineStr">
        <is>
          <t>Y</t>
        </is>
      </c>
    </row>
    <row r="5">
      <c r="A5" t="inlineStr">
        <is>
          <t>raiders</t>
        </is>
      </c>
      <c r="B5" t="inlineStr">
        <is>
          <t>F-0004</t>
        </is>
      </c>
      <c r="C5" t="inlineStr">
        <is>
          <t>Raiders</t>
        </is>
      </c>
      <c r="D5" t="inlineStr">
        <is>
          <t>Badlands</t>
        </is>
      </c>
      <c r="E5" t="inlineStr">
        <is>
          <t>High</t>
        </is>
      </c>
      <c r="F5" t="inlineStr">
        <is>
          <t>No</t>
        </is>
      </c>
      <c r="G5" t="inlineStr">
        <is>
          <t>Yes</t>
        </is>
      </c>
      <c r="H5" t="inlineStr">
        <is>
          <t>Organized criminal group</t>
        </is>
      </c>
      <c r="I5" t="inlineStr">
        <is>
          <t>Y</t>
        </is>
      </c>
    </row>
    <row r="6">
      <c r="A6" t="inlineStr">
        <is>
          <t>nomads</t>
        </is>
      </c>
      <c r="B6" t="inlineStr">
        <is>
          <t>F-0005</t>
        </is>
      </c>
      <c r="C6" t="inlineStr">
        <is>
          <t>Nomads</t>
        </is>
      </c>
      <c r="D6" t="inlineStr">
        <is>
          <t>Desert</t>
        </is>
      </c>
      <c r="E6" t="inlineStr">
        <is>
          <t>Low</t>
        </is>
      </c>
      <c r="F6" t="inlineStr">
        <is>
          <t>Yes</t>
        </is>
      </c>
      <c r="G6" t="inlineStr">
        <is>
          <t>Yes</t>
        </is>
      </c>
      <c r="H6" t="inlineStr">
        <is>
          <t>Wandering traders</t>
        </is>
      </c>
      <c r="I6" t="inlineStr">
        <is>
          <t>Y</t>
        </is>
      </c>
    </row>
    <row r="7">
      <c r="A7" t="inlineStr">
        <is>
          <t>town</t>
        </is>
      </c>
      <c r="B7" t="inlineStr">
        <is>
          <t>F-0006</t>
        </is>
      </c>
      <c r="C7" t="inlineStr">
        <is>
          <t>Town</t>
        </is>
      </c>
      <c r="D7" t="inlineStr">
        <is>
          <t>Settlements</t>
        </is>
      </c>
      <c r="E7" t="inlineStr">
        <is>
          <t>Medium</t>
        </is>
      </c>
      <c r="F7" t="inlineStr">
        <is>
          <t>Yes</t>
        </is>
      </c>
      <c r="G7" t="inlineStr">
        <is>
          <t>Yes</t>
        </is>
      </c>
      <c r="H7" t="inlineStr">
        <is>
          <t>Civilization survivors</t>
        </is>
      </c>
      <c r="I7" t="inlineStr">
        <is>
          <t>Y</t>
        </is>
      </c>
    </row>
    <row r="8">
      <c r="A8" t="inlineStr">
        <is>
          <t>slavers</t>
        </is>
      </c>
      <c r="B8" t="inlineStr">
        <is>
          <t>F-0007</t>
        </is>
      </c>
      <c r="C8" t="inlineStr">
        <is>
          <t>Slavers</t>
        </is>
      </c>
      <c r="D8" t="inlineStr">
        <is>
          <t>Slave camps</t>
        </is>
      </c>
      <c r="E8" t="inlineStr">
        <is>
          <t>High</t>
        </is>
      </c>
      <c r="F8" t="inlineStr">
        <is>
          <t>Yes</t>
        </is>
      </c>
      <c r="G8" t="inlineStr">
        <is>
          <t>No</t>
        </is>
      </c>
      <c r="H8" t="inlineStr">
        <is>
          <t>Human traffickers</t>
        </is>
      </c>
      <c r="I8" t="inlineStr">
        <is>
          <t>Y</t>
        </is>
      </c>
    </row>
    <row r="9">
      <c r="A9" t="inlineStr">
        <is>
          <t>tech_hunters</t>
        </is>
      </c>
      <c r="B9" t="inlineStr">
        <is>
          <t>F-0008</t>
        </is>
      </c>
      <c r="C9" t="inlineStr">
        <is>
          <t>Tech Hunters</t>
        </is>
      </c>
      <c r="D9" t="inlineStr">
        <is>
          <t>Ruins</t>
        </is>
      </c>
      <c r="E9" t="inlineStr">
        <is>
          <t>Medium</t>
        </is>
      </c>
      <c r="F9" t="inlineStr">
        <is>
          <t>Yes</t>
        </is>
      </c>
      <c r="G9" t="inlineStr">
        <is>
          <t>Yes</t>
        </is>
      </c>
      <c r="H9" t="inlineStr">
        <is>
          <t>Relic seekers</t>
        </is>
      </c>
      <c r="I9" t="inlineStr">
        <is>
          <t>Y</t>
        </is>
      </c>
    </row>
    <row r="10">
      <c r="A10" t="inlineStr">
        <is>
          <t>scavs</t>
        </is>
      </c>
      <c r="B10" t="inlineStr">
        <is>
          <t>F-0009</t>
        </is>
      </c>
      <c r="C10" t="inlineStr">
        <is>
          <t>Scavs</t>
        </is>
      </c>
      <c r="D10" t="inlineStr">
        <is>
          <t>Everywhere</t>
        </is>
      </c>
      <c r="E10" t="inlineStr">
        <is>
          <t>Low</t>
        </is>
      </c>
      <c r="F10" t="inlineStr">
        <is>
          <t>Yes</t>
        </is>
      </c>
      <c r="G10" t="inlineStr">
        <is>
          <t>Yes</t>
        </is>
      </c>
      <c r="H10" t="inlineStr">
        <is>
          <t>Scrap collectors</t>
        </is>
      </c>
      <c r="I10" t="inlineStr">
        <is>
          <t>Y</t>
        </is>
      </c>
    </row>
    <row r="11">
      <c r="A11" t="inlineStr">
        <is>
          <t>dominion</t>
        </is>
      </c>
      <c r="B11" s="10" t="inlineStr">
        <is>
          <t>F-0010</t>
        </is>
      </c>
      <c r="C11" s="10" t="inlineStr">
        <is>
          <t>The Dominion</t>
        </is>
      </c>
      <c r="D11" s="10" t="inlineStr">
        <is>
          <t>East Chasma</t>
        </is>
      </c>
      <c r="E11" s="10" t="inlineStr">
        <is>
          <t>Very High</t>
        </is>
      </c>
      <c r="F11" s="10" t="inlineStr">
        <is>
          <t>No</t>
        </is>
      </c>
      <c r="G11" s="10" t="inlineStr">
        <is>
          <t>No</t>
        </is>
      </c>
      <c r="H11" s="10" t="inlineStr">
        <is>
          <t>Authoritarian empire</t>
        </is>
      </c>
      <c r="I11" t="inlineStr">
        <is>
          <t>Y</t>
        </is>
      </c>
    </row>
    <row r="14" ht="15.75" customHeight="1" s="36"/>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9" t="inlineStr">
        <is>
          <t>Biome ID</t>
        </is>
      </c>
      <c r="B1" s="19" t="inlineStr">
        <is>
          <t>Name</t>
        </is>
      </c>
      <c r="C1" s="19" t="inlineStr">
        <is>
          <t>Temperature</t>
        </is>
      </c>
      <c r="D1" s="19" t="inlineStr">
        <is>
          <t>Danger Level</t>
        </is>
      </c>
      <c r="E1" s="19" t="inlineStr">
        <is>
          <t>Water Avail.</t>
        </is>
      </c>
      <c r="F1" s="19" t="inlineStr">
        <is>
          <t>Resources</t>
        </is>
      </c>
      <c r="G1" s="19" t="inlineStr">
        <is>
          <t>Common Fauna</t>
        </is>
      </c>
      <c r="H1" s="19" t="inlineStr">
        <is>
          <t>Factions Present</t>
        </is>
      </c>
      <c r="I1" s="19" t="inlineStr">
        <is>
          <t>Weather</t>
        </is>
      </c>
      <c r="J1" s="19" t="inlineStr">
        <is>
          <t>Description</t>
        </is>
      </c>
    </row>
    <row r="2">
      <c r="A2" t="inlineStr">
        <is>
          <t>BM-01</t>
        </is>
      </c>
      <c r="B2" t="inlineStr">
        <is>
          <t>Scorched Desert</t>
        </is>
      </c>
      <c r="C2" t="inlineStr">
        <is>
          <t>Extreme Hot</t>
        </is>
      </c>
      <c r="D2" t="n">
        <v>4</v>
      </c>
      <c r="E2" t="inlineStr">
        <is>
          <t>Very Low</t>
        </is>
      </c>
      <c r="F2" t="inlineStr">
        <is>
          <t>Iron, Sulfur, Oil</t>
        </is>
      </c>
      <c r="G2" t="inlineStr">
        <is>
          <t>Sand Viper, Desert Crawler</t>
        </is>
      </c>
      <c r="H2" t="inlineStr">
        <is>
          <t>Nomads, Bandits</t>
        </is>
      </c>
      <c r="I2" t="inlineStr">
        <is>
          <t>Sandstorms</t>
        </is>
      </c>
      <c r="J2" t="inlineStr">
        <is>
          <t>Harsh wasteland, dangerous to traverse</t>
        </is>
      </c>
    </row>
    <row r="3">
      <c r="A3" t="inlineStr">
        <is>
          <t>BM-02</t>
        </is>
      </c>
      <c r="B3" t="inlineStr">
        <is>
          <t>Rocky Badlands</t>
        </is>
      </c>
      <c r="C3" t="inlineStr">
        <is>
          <t>Hot</t>
        </is>
      </c>
      <c r="D3" t="n">
        <v>5</v>
      </c>
      <c r="E3" t="inlineStr">
        <is>
          <t>Low</t>
        </is>
      </c>
      <c r="F3" t="inlineStr">
        <is>
          <t>Stone, Iron, Copper</t>
        </is>
      </c>
      <c r="G3" t="inlineStr">
        <is>
          <t>Dire Wolf, Feral Human</t>
        </is>
      </c>
      <c r="H3" t="inlineStr">
        <is>
          <t>Raiders, Bandits</t>
        </is>
      </c>
      <c r="I3" t="inlineStr">
        <is>
          <t>Dust Devils</t>
        </is>
      </c>
      <c r="J3" t="inlineStr">
        <is>
          <t>Bandit territory, high danger</t>
        </is>
      </c>
    </row>
    <row r="4">
      <c r="A4" t="inlineStr">
        <is>
          <t>BM-03</t>
        </is>
      </c>
      <c r="B4" t="inlineStr">
        <is>
          <t>Fertile Valley</t>
        </is>
      </c>
      <c r="C4" t="inlineStr">
        <is>
          <t>Moderate</t>
        </is>
      </c>
      <c r="D4" t="n">
        <v>2</v>
      </c>
      <c r="E4" t="inlineStr">
        <is>
          <t>High</t>
        </is>
      </c>
      <c r="F4" t="inlineStr">
        <is>
          <t>Wood, Plant Fiber, Water</t>
        </is>
      </c>
      <c r="G4" t="inlineStr">
        <is>
          <t>Wolf, Cave Spider</t>
        </is>
      </c>
      <c r="H4" t="inlineStr">
        <is>
          <t>Town, Nomads</t>
        </is>
      </c>
      <c r="I4" t="inlineStr">
        <is>
          <t>Rain</t>
        </is>
      </c>
      <c r="J4" t="inlineStr">
        <is>
          <t>Rare green area, contested</t>
        </is>
      </c>
    </row>
    <row r="5">
      <c r="A5" t="inlineStr">
        <is>
          <t>BM-04</t>
        </is>
      </c>
      <c r="B5" t="inlineStr">
        <is>
          <t>Ancient Ruins</t>
        </is>
      </c>
      <c r="C5" t="inlineStr">
        <is>
          <t>Moderate</t>
        </is>
      </c>
      <c r="D5" t="n">
        <v>4</v>
      </c>
      <c r="E5" t="inlineStr">
        <is>
          <t>Low</t>
        </is>
      </c>
      <c r="F5" t="inlineStr">
        <is>
          <t>Scrap, Electronics, Ancient Parts</t>
        </is>
      </c>
      <c r="G5" t="inlineStr">
        <is>
          <t>Ruins Stalker</t>
        </is>
      </c>
      <c r="H5" t="inlineStr">
        <is>
          <t>Tech Hunters, Scavs</t>
        </is>
      </c>
      <c r="I5" t="inlineStr">
        <is>
          <t>None</t>
        </is>
      </c>
      <c r="J5" t="inlineStr">
        <is>
          <t>Pre-war city remnants</t>
        </is>
      </c>
    </row>
    <row r="6">
      <c r="A6" t="inlineStr">
        <is>
          <t>BM-05</t>
        </is>
      </c>
      <c r="B6" t="inlineStr">
        <is>
          <t>Salt Flats</t>
        </is>
      </c>
      <c r="C6" t="inlineStr">
        <is>
          <t>Hot</t>
        </is>
      </c>
      <c r="D6" t="n">
        <v>3</v>
      </c>
      <c r="E6" t="inlineStr">
        <is>
          <t>None</t>
        </is>
      </c>
      <c r="F6" t="inlineStr">
        <is>
          <t>Crystal, Stone</t>
        </is>
      </c>
      <c r="G6" t="inlineStr">
        <is>
          <t>Giant Beetle</t>
        </is>
      </c>
      <c r="H6" t="inlineStr">
        <is>
          <t>None</t>
        </is>
      </c>
      <c r="I6" t="inlineStr">
        <is>
          <t>Heat Waves</t>
        </is>
      </c>
      <c r="J6" t="inlineStr">
        <is>
          <t>Desolate white expanse</t>
        </is>
      </c>
    </row>
    <row r="7">
      <c r="A7" t="inlineStr">
        <is>
          <t>BM-06</t>
        </is>
      </c>
      <c r="B7" t="inlineStr">
        <is>
          <t>The Chasma</t>
        </is>
      </c>
      <c r="C7" t="inlineStr">
        <is>
          <t>Cold</t>
        </is>
      </c>
      <c r="D7" t="n">
        <v>5</v>
      </c>
      <c r="E7" t="inlineStr">
        <is>
          <t>Moderate</t>
        </is>
      </c>
      <c r="F7" t="inlineStr">
        <is>
          <t>Crystal, Rare Ores</t>
        </is>
      </c>
      <c r="G7" t="inlineStr">
        <is>
          <t>Chasma Hound</t>
        </is>
      </c>
      <c r="H7" t="inlineStr">
        <is>
          <t>The Dominion</t>
        </is>
      </c>
      <c r="I7" t="inlineStr">
        <is>
          <t>Blizzards</t>
        </is>
      </c>
      <c r="J7" t="inlineStr">
        <is>
          <t>The great rift, namesake of the land</t>
        </is>
      </c>
    </row>
    <row r="8">
      <c r="A8" t="inlineStr">
        <is>
          <t>BM-07</t>
        </is>
      </c>
      <c r="B8" t="inlineStr">
        <is>
          <t>Fungal Caves</t>
        </is>
      </c>
      <c r="C8" t="inlineStr">
        <is>
          <t>Cool</t>
        </is>
      </c>
      <c r="D8" t="n">
        <v>3</v>
      </c>
      <c r="E8" t="inlineStr">
        <is>
          <t>Moderate</t>
        </is>
      </c>
      <c r="F8" t="inlineStr">
        <is>
          <t>Mushrooms, Crystal</t>
        </is>
      </c>
      <c r="G8" t="inlineStr">
        <is>
          <t>Cave Spider, Giant Beetle</t>
        </is>
      </c>
      <c r="H8" t="inlineStr">
        <is>
          <t>Scavs</t>
        </is>
      </c>
      <c r="I8" t="inlineStr">
        <is>
          <t>None</t>
        </is>
      </c>
      <c r="J8" t="inlineStr">
        <is>
          <t>Underground network</t>
        </is>
      </c>
    </row>
    <row r="9">
      <c r="A9" s="10" t="inlineStr">
        <is>
          <t>BM-08</t>
        </is>
      </c>
      <c r="B9" s="10" t="inlineStr">
        <is>
          <t>Coastal Wastes</t>
        </is>
      </c>
      <c r="C9" s="10" t="inlineStr">
        <is>
          <t>Moderate</t>
        </is>
      </c>
      <c r="D9" s="10" t="n">
        <v>2</v>
      </c>
      <c r="E9" s="10" t="inlineStr">
        <is>
          <t>High</t>
        </is>
      </c>
      <c r="F9" s="10" t="inlineStr">
        <is>
          <t>Scrap, Water, Plant Fiber</t>
        </is>
      </c>
      <c r="G9" s="10" t="inlineStr">
        <is>
          <t>Wolf</t>
        </is>
      </c>
      <c r="H9" s="10" t="inlineStr">
        <is>
          <t>Town, Nomads</t>
        </is>
      </c>
      <c r="I9" s="10" t="inlineStr">
        <is>
          <t>Fog, Rain</t>
        </is>
      </c>
      <c r="J9" s="10" t="inlineStr">
        <is>
          <t>Ruined harbors and beaches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28"/>
  <sheetViews>
    <sheetView workbookViewId="0">
      <selection activeCell="C5" sqref="C5"/>
    </sheetView>
  </sheetViews>
  <sheetFormatPr baseColWidth="8" defaultRowHeight="15"/>
  <cols>
    <col width="34.85546875" bestFit="1" customWidth="1" style="36" min="1" max="1"/>
    <col width="32.7109375" bestFit="1" customWidth="1" style="36" min="2" max="2"/>
    <col width="13.7109375" bestFit="1" customWidth="1" style="36" min="4" max="4"/>
    <col width="6" bestFit="1" customWidth="1" style="36" min="5" max="5"/>
  </cols>
  <sheetData>
    <row r="1" ht="21" customHeight="1" s="36">
      <c r="A1" s="20" t="inlineStr">
        <is>
          <t>CHASMA COMBAT SYSTEM</t>
        </is>
      </c>
    </row>
    <row r="3" ht="15.75" customHeight="1" s="36">
      <c r="A3" s="7" t="inlineStr">
        <is>
          <t>DAMAGE CALCULATION</t>
        </is>
      </c>
    </row>
    <row r="4">
      <c r="A4" s="18" t="inlineStr">
        <is>
          <t>Component</t>
        </is>
      </c>
      <c r="B4" s="18" t="inlineStr">
        <is>
          <t>Formula</t>
        </is>
      </c>
    </row>
    <row r="5">
      <c r="A5" t="inlineStr">
        <is>
          <t>Base Melee Damage</t>
        </is>
      </c>
      <c r="B5" t="inlineStr">
        <is>
          <t>Weapon_Damage + (STR * 2)</t>
        </is>
      </c>
    </row>
    <row r="6">
      <c r="A6" t="inlineStr">
        <is>
          <t>Base Ranged Damage</t>
        </is>
      </c>
      <c r="B6" t="inlineStr">
        <is>
          <t>Weapon_Damage + (DEX * 1.5)</t>
        </is>
      </c>
    </row>
    <row r="7">
      <c r="A7" t="inlineStr">
        <is>
          <t>Critical Multiplier</t>
        </is>
      </c>
      <c r="B7" t="inlineStr">
        <is>
          <t>1.5 + (DEX * 0.05)</t>
        </is>
      </c>
    </row>
    <row r="8">
      <c r="A8" t="inlineStr">
        <is>
          <t>Critical Chance %</t>
        </is>
      </c>
      <c r="B8" t="inlineStr">
        <is>
          <t>5 + (DEX * 2)</t>
        </is>
      </c>
    </row>
    <row r="9">
      <c r="A9" t="inlineStr">
        <is>
          <t>Armor Reduction</t>
        </is>
      </c>
      <c r="B9" t="inlineStr">
        <is>
          <t>Damage * (100 - Armor_Value) / 100</t>
        </is>
      </c>
    </row>
    <row r="10">
      <c r="A10" t="inlineStr">
        <is>
          <t>Final Damage</t>
        </is>
      </c>
      <c r="B10" t="inlineStr">
        <is>
          <t>MAX(1, Reduced_Damage)</t>
        </is>
      </c>
    </row>
    <row r="12" ht="15.75" customHeight="1" s="36">
      <c r="A12" s="7" t="inlineStr">
        <is>
          <t>DEFENSE CALCULATION</t>
        </is>
      </c>
    </row>
    <row r="13">
      <c r="A13" s="19" t="inlineStr">
        <is>
          <t>Component</t>
        </is>
      </c>
      <c r="B13" s="19" t="inlineStr">
        <is>
          <t>Formula</t>
        </is>
      </c>
    </row>
    <row r="14">
      <c r="A14" t="inlineStr">
        <is>
          <t>Dodge Chance %</t>
        </is>
      </c>
      <c r="B14" t="inlineStr">
        <is>
          <t>5 + (AGI * 3) - Enemy_DEX</t>
        </is>
      </c>
    </row>
    <row r="15">
      <c r="A15" t="inlineStr">
        <is>
          <t>Block Chance %</t>
        </is>
      </c>
      <c r="B15" t="inlineStr">
        <is>
          <t>(STR * 2) + Shield_Bonus</t>
        </is>
      </c>
    </row>
    <row r="16">
      <c r="A16" t="inlineStr">
        <is>
          <t>Block Reduction %</t>
        </is>
      </c>
      <c r="B16" t="inlineStr">
        <is>
          <t>50 + (STR * 2)</t>
        </is>
      </c>
    </row>
    <row r="17">
      <c r="A17" t="inlineStr">
        <is>
          <t>HP Regen/sec</t>
        </is>
      </c>
      <c r="B17" t="inlineStr">
        <is>
          <t>0.5 + (CON * 0.2)</t>
        </is>
      </c>
    </row>
    <row r="18">
      <c r="A18" t="inlineStr">
        <is>
          <t>Bleed Resist %</t>
        </is>
      </c>
      <c r="B18" t="inlineStr">
        <is>
          <t>CON * 5</t>
        </is>
      </c>
    </row>
    <row r="20" ht="15.75" customHeight="1" s="36">
      <c r="A20" s="7" t="inlineStr">
        <is>
          <t>COMBAT EXAMPLE</t>
        </is>
      </c>
    </row>
    <row r="21">
      <c r="A21" s="15" t="inlineStr">
        <is>
          <t>Attacker Stats</t>
        </is>
      </c>
      <c r="B21" s="15" t="inlineStr">
        <is>
          <t>Value</t>
        </is>
      </c>
      <c r="D21" s="17" t="inlineStr">
        <is>
          <t>Defender Stats</t>
        </is>
      </c>
      <c r="E21" s="17" t="inlineStr">
        <is>
          <t>Value</t>
        </is>
      </c>
    </row>
    <row r="22">
      <c r="A22" t="inlineStr">
        <is>
          <t>STR</t>
        </is>
      </c>
      <c r="B22" t="n">
        <v>6</v>
      </c>
      <c r="D22" t="inlineStr">
        <is>
          <t>CON</t>
        </is>
      </c>
      <c r="E22" t="n">
        <v>5</v>
      </c>
    </row>
    <row r="23">
      <c r="A23" t="inlineStr">
        <is>
          <t>DEX</t>
        </is>
      </c>
      <c r="B23" t="n">
        <v>5</v>
      </c>
      <c r="D23" t="inlineStr">
        <is>
          <t>Armor Value</t>
        </is>
      </c>
      <c r="E23" t="n">
        <v>20</v>
      </c>
    </row>
    <row r="24">
      <c r="A24" t="inlineStr">
        <is>
          <t>Weapon Damage</t>
        </is>
      </c>
      <c r="B24" t="n">
        <v>15</v>
      </c>
      <c r="D24" t="inlineStr">
        <is>
          <t>Base HP</t>
        </is>
      </c>
      <c r="E24" t="n">
        <v>10</v>
      </c>
    </row>
    <row r="26">
      <c r="A26" s="6" t="inlineStr">
        <is>
          <t>Calculated Melee Damage:</t>
        </is>
      </c>
      <c r="B26" s="6">
        <f>B24+(B22*2)</f>
        <v/>
      </c>
      <c r="D26" s="6" t="inlineStr">
        <is>
          <t>Total HP:</t>
        </is>
      </c>
      <c r="E26" s="6">
        <f>E24+(E22*5)</f>
        <v/>
      </c>
    </row>
    <row r="28">
      <c r="A28" s="6" t="inlineStr">
        <is>
          <t>Damage After Armor:</t>
        </is>
      </c>
      <c r="B28" s="21">
        <f>ROUND(B26*(100-E23)/100,1)</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7"/>
  <sheetViews>
    <sheetView workbookViewId="0">
      <selection activeCell="D11" sqref="D11"/>
    </sheetView>
  </sheetViews>
  <sheetFormatPr baseColWidth="8" defaultRowHeight="15"/>
  <cols>
    <col width="16.85546875" bestFit="1" customWidth="1" style="36" min="1" max="1"/>
    <col width="8.7109375" bestFit="1" customWidth="1" style="36" min="2" max="2"/>
    <col width="22.42578125" bestFit="1" customWidth="1" style="36" min="3" max="3"/>
    <col width="8.28515625" bestFit="1" customWidth="1" style="36" min="4" max="4"/>
    <col width="12.7109375" bestFit="1" customWidth="1" style="36" min="5" max="5"/>
    <col width="6.42578125" bestFit="1" customWidth="1" style="36" min="6" max="6"/>
    <col width="17.85546875" bestFit="1" customWidth="1" style="36" min="7" max="7"/>
    <col width="7.85546875" bestFit="1" customWidth="1" style="36" min="8" max="8"/>
    <col width="8.7109375" bestFit="1" customWidth="1" style="36" min="9" max="10"/>
    <col width="12.7109375" bestFit="1" customWidth="1" style="36" min="11" max="11"/>
    <col width="13.7109375" bestFit="1" customWidth="1" style="36" min="12" max="12"/>
    <col width="16.28515625" bestFit="1" customWidth="1" style="36" min="13" max="13"/>
    <col width="11.140625" bestFit="1" customWidth="1" style="36" min="14" max="14"/>
    <col width="8.140625" bestFit="1" customWidth="1" style="36" min="15" max="15"/>
  </cols>
  <sheetData>
    <row r="1">
      <c r="A1" t="inlineStr">
        <is>
          <t>Weapon ID</t>
        </is>
      </c>
      <c r="B1" t="inlineStr">
        <is>
          <t>Name</t>
        </is>
      </c>
      <c r="C1" t="inlineStr">
        <is>
          <t>Description</t>
        </is>
      </c>
      <c r="D1" t="inlineStr">
        <is>
          <t>Damage</t>
        </is>
      </c>
      <c r="E1" t="inlineStr">
        <is>
          <t>Damage Type</t>
        </is>
      </c>
      <c r="F1" t="inlineStr">
        <is>
          <t>Range</t>
        </is>
      </c>
      <c r="G1" t="inlineStr">
        <is>
          <t>Attacks Per Second</t>
        </is>
      </c>
      <c r="H1" t="inlineStr">
        <is>
          <t>Windup</t>
        </is>
      </c>
      <c r="I1" t="inlineStr">
        <is>
          <t>Recovery</t>
        </is>
      </c>
      <c r="J1" t="inlineStr">
        <is>
          <t>Hit Mode</t>
        </is>
      </c>
      <c r="K1" t="inlineStr">
        <is>
          <t>Projectile Key</t>
        </is>
      </c>
      <c r="L1" t="inlineStr">
        <is>
          <t>Animation Key</t>
        </is>
      </c>
      <c r="M1" t="inlineStr">
        <is>
          <t>Target Filters</t>
        </is>
      </c>
      <c r="N1" t="inlineStr">
        <is>
          <t>Stat Scaling</t>
        </is>
      </c>
      <c r="O1" t="inlineStr">
        <is>
          <t>Enabled</t>
        </is>
      </c>
      <c r="P1" t="inlineStr">
        <is>
          <t>Animation Family</t>
        </is>
      </c>
      <c r="Q1" t="inlineStr">
        <is>
          <t>Combat Idle Clip</t>
        </is>
      </c>
      <c r="R1" t="inlineStr">
        <is>
          <t>Attack Variant</t>
        </is>
      </c>
    </row>
    <row r="2">
      <c r="A2" t="inlineStr">
        <is>
          <t>weapon_fists</t>
        </is>
      </c>
      <c r="B2" t="inlineStr">
        <is>
          <t>Fists</t>
        </is>
      </c>
      <c r="C2" t="inlineStr">
        <is>
          <t>Unarmed strikes.</t>
        </is>
      </c>
      <c r="D2" t="n">
        <v>4</v>
      </c>
      <c r="E2" t="inlineStr">
        <is>
          <t>Blunt</t>
        </is>
      </c>
      <c r="F2" t="n">
        <v>1.2</v>
      </c>
      <c r="G2" t="n">
        <v>1.5</v>
      </c>
      <c r="H2" t="n">
        <v>0.15</v>
      </c>
      <c r="I2" t="n">
        <v>0.1</v>
      </c>
      <c r="J2" t="inlineStr">
        <is>
          <t>Melee</t>
        </is>
      </c>
      <c r="L2" t="inlineStr">
        <is>
          <t>Punch_Jab</t>
        </is>
      </c>
      <c r="M2" t="inlineStr">
        <is>
          <t>Enemies</t>
        </is>
      </c>
      <c r="O2" t="inlineStr">
        <is>
          <t>Y</t>
        </is>
      </c>
      <c r="P2" t="inlineStr">
        <is>
          <t>Unarmed</t>
        </is>
      </c>
      <c r="R2" t="inlineStr">
        <is>
          <t>Punch_Cross</t>
        </is>
      </c>
    </row>
    <row r="3">
      <c r="A3" t="inlineStr">
        <is>
          <t>weapon_wolf_bite</t>
        </is>
      </c>
      <c r="B3" t="inlineStr">
        <is>
          <t>Wolf Bite</t>
        </is>
      </c>
      <c r="C3" t="inlineStr">
        <is>
          <t>Natural wolf bite attack.</t>
        </is>
      </c>
      <c r="D3" t="n">
        <v>8</v>
      </c>
      <c r="E3" t="inlineStr">
        <is>
          <t>Slashing</t>
        </is>
      </c>
      <c r="F3" t="n">
        <v>1.5</v>
      </c>
      <c r="G3" t="n">
        <v>1.2</v>
      </c>
      <c r="H3" t="n">
        <v>0.2</v>
      </c>
      <c r="I3" t="n">
        <v>0.15</v>
      </c>
      <c r="J3" t="inlineStr">
        <is>
          <t>Melee</t>
        </is>
      </c>
      <c r="L3" t="inlineStr">
        <is>
          <t>attack_bite</t>
        </is>
      </c>
      <c r="M3" t="inlineStr">
        <is>
          <t>Enemies, Wildlife</t>
        </is>
      </c>
      <c r="O3" t="inlineStr">
        <is>
          <t>Y</t>
        </is>
      </c>
    </row>
    <row r="4">
      <c r="A4" t="inlineStr">
        <is>
          <t>weapon_claws</t>
        </is>
      </c>
      <c r="B4" t="inlineStr">
        <is>
          <t>Claws</t>
        </is>
      </c>
      <c r="C4" t="inlineStr">
        <is>
          <t>Natural claw swipe.</t>
        </is>
      </c>
      <c r="D4" t="n">
        <v>6</v>
      </c>
      <c r="E4" t="inlineStr">
        <is>
          <t>Slashing</t>
        </is>
      </c>
      <c r="F4" t="n">
        <v>1.4</v>
      </c>
      <c r="G4" t="n">
        <v>1.25</v>
      </c>
      <c r="H4" t="n">
        <v>0.18</v>
      </c>
      <c r="I4" t="n">
        <v>0.12</v>
      </c>
      <c r="J4" t="inlineStr">
        <is>
          <t>Melee</t>
        </is>
      </c>
      <c r="L4" t="inlineStr">
        <is>
          <t>attack_claws</t>
        </is>
      </c>
      <c r="M4" t="inlineStr">
        <is>
          <t>Enemies, Wildlife</t>
        </is>
      </c>
      <c r="O4" t="inlineStr">
        <is>
          <t>Y</t>
        </is>
      </c>
    </row>
    <row r="5">
      <c r="A5" t="inlineStr">
        <is>
          <t>weapon_cavecrawler_claws</t>
        </is>
      </c>
      <c r="B5" t="inlineStr">
        <is>
          <t>Cavecrawler Claws</t>
        </is>
      </c>
      <c r="C5" t="inlineStr">
        <is>
          <t>Natural claw attack.</t>
        </is>
      </c>
      <c r="D5" t="n">
        <v>6</v>
      </c>
      <c r="E5" t="inlineStr">
        <is>
          <t>Slashing</t>
        </is>
      </c>
      <c r="F5" t="n">
        <v>1.4</v>
      </c>
      <c r="G5" t="n">
        <v>1.25</v>
      </c>
      <c r="H5" t="n">
        <v>0.18</v>
      </c>
      <c r="I5" t="n">
        <v>0.12</v>
      </c>
      <c r="J5" t="inlineStr">
        <is>
          <t>Melee</t>
        </is>
      </c>
      <c r="L5" t="inlineStr">
        <is>
          <t>ClawAttackRight</t>
        </is>
      </c>
      <c r="M5" t="inlineStr">
        <is>
          <t>Enemies, Wildlife</t>
        </is>
      </c>
      <c r="O5" t="inlineStr">
        <is>
          <t>Y</t>
        </is>
      </c>
    </row>
    <row r="6">
      <c r="A6" t="inlineStr">
        <is>
          <t>weapon_iron_dagger</t>
        </is>
      </c>
      <c r="B6" t="inlineStr">
        <is>
          <t>Iron Dagger</t>
        </is>
      </c>
      <c r="C6" t="inlineStr">
        <is>
          <t>Short iron blade.</t>
        </is>
      </c>
      <c r="D6" t="n">
        <v>8</v>
      </c>
      <c r="E6" t="inlineStr">
        <is>
          <t>Piercing</t>
        </is>
      </c>
      <c r="F6" t="n">
        <v>1.5</v>
      </c>
      <c r="G6" t="n">
        <v>1.8</v>
      </c>
      <c r="H6" t="n">
        <v>0.12</v>
      </c>
      <c r="I6" t="n">
        <v>0.1</v>
      </c>
      <c r="J6" t="inlineStr">
        <is>
          <t>Melee</t>
        </is>
      </c>
      <c r="L6" t="inlineStr">
        <is>
          <t>attack_fists</t>
        </is>
      </c>
      <c r="M6" t="inlineStr">
        <is>
          <t>Enemies</t>
        </is>
      </c>
      <c r="O6" t="inlineStr">
        <is>
          <t>Y</t>
        </is>
      </c>
    </row>
    <row r="7">
      <c r="A7" t="inlineStr">
        <is>
          <t>weapon_iron_hand_axe</t>
        </is>
      </c>
      <c r="B7" t="inlineStr">
        <is>
          <t>Iron Hand Axe</t>
        </is>
      </c>
      <c r="C7" t="inlineStr">
        <is>
          <t>One-handed iron axe.</t>
        </is>
      </c>
      <c r="D7" t="n">
        <v>11</v>
      </c>
      <c r="E7" t="inlineStr">
        <is>
          <t>Slashing</t>
        </is>
      </c>
      <c r="F7" t="n">
        <v>2</v>
      </c>
      <c r="G7" t="n">
        <v>1.2</v>
      </c>
      <c r="H7" t="n">
        <v>0.18</v>
      </c>
      <c r="I7" t="n">
        <v>0.12</v>
      </c>
      <c r="J7" t="inlineStr">
        <is>
          <t>Melee</t>
        </is>
      </c>
      <c r="L7" t="inlineStr">
        <is>
          <t>attack_fists</t>
        </is>
      </c>
      <c r="M7" t="inlineStr">
        <is>
          <t>Enemies</t>
        </is>
      </c>
      <c r="O7" t="inlineStr">
        <is>
          <t>Y</t>
        </is>
      </c>
    </row>
    <row r="8">
      <c r="A8" t="inlineStr">
        <is>
          <t>weapon_iron_sword</t>
        </is>
      </c>
      <c r="B8" t="inlineStr">
        <is>
          <t>Iron Sword</t>
        </is>
      </c>
      <c r="C8" t="inlineStr">
        <is>
          <t>Standard iron sword.</t>
        </is>
      </c>
      <c r="D8" t="n">
        <v>14</v>
      </c>
      <c r="E8" t="inlineStr">
        <is>
          <t>Slashing</t>
        </is>
      </c>
      <c r="F8" t="n">
        <v>2.2</v>
      </c>
      <c r="G8" t="n">
        <v>1</v>
      </c>
      <c r="H8" t="n">
        <v>0.2</v>
      </c>
      <c r="I8" t="n">
        <v>0.15</v>
      </c>
      <c r="J8" t="inlineStr">
        <is>
          <t>Melee</t>
        </is>
      </c>
      <c r="L8" t="inlineStr">
        <is>
          <t>Sword_Attack</t>
        </is>
      </c>
      <c r="M8" t="inlineStr">
        <is>
          <t>Enemies</t>
        </is>
      </c>
      <c r="O8" t="inlineStr">
        <is>
          <t>Y</t>
        </is>
      </c>
      <c r="P8" t="inlineStr">
        <is>
          <t>OneHandSword</t>
        </is>
      </c>
      <c r="Q8" t="inlineStr">
        <is>
          <t>Sword_Idle</t>
        </is>
      </c>
    </row>
    <row r="9">
      <c r="A9" t="inlineStr">
        <is>
          <t>weapon_iron_greatsword</t>
        </is>
      </c>
      <c r="B9" t="inlineStr">
        <is>
          <t>Iron Greatsword</t>
        </is>
      </c>
      <c r="C9" t="inlineStr">
        <is>
          <t>Large two-handed iron sword.</t>
        </is>
      </c>
      <c r="D9" t="n">
        <v>20</v>
      </c>
      <c r="E9" t="inlineStr">
        <is>
          <t>Slashing</t>
        </is>
      </c>
      <c r="F9" t="n">
        <v>2.8</v>
      </c>
      <c r="G9" t="n">
        <v>0.7</v>
      </c>
      <c r="H9" t="n">
        <v>0.28</v>
      </c>
      <c r="I9" t="n">
        <v>0.2</v>
      </c>
      <c r="J9" t="inlineStr">
        <is>
          <t>Melee</t>
        </is>
      </c>
      <c r="L9" t="inlineStr">
        <is>
          <t>attack_fists</t>
        </is>
      </c>
      <c r="M9" t="inlineStr">
        <is>
          <t>Enemies</t>
        </is>
      </c>
      <c r="O9" t="inlineStr">
        <is>
          <t>Y</t>
        </is>
      </c>
    </row>
    <row r="10">
      <c r="A10" t="inlineStr">
        <is>
          <t>weapon_iron_greataxe</t>
        </is>
      </c>
      <c r="B10" t="inlineStr">
        <is>
          <t>Iron Greataxe</t>
        </is>
      </c>
      <c r="C10" t="inlineStr">
        <is>
          <t>Heavy two-handed greataxe.</t>
        </is>
      </c>
      <c r="D10" t="n">
        <v>22</v>
      </c>
      <c r="E10" t="inlineStr">
        <is>
          <t>Slashing</t>
        </is>
      </c>
      <c r="F10" t="n">
        <v>2.6</v>
      </c>
      <c r="G10" t="n">
        <v>0.6</v>
      </c>
      <c r="H10" t="n">
        <v>0.3</v>
      </c>
      <c r="I10" t="n">
        <v>0.22</v>
      </c>
      <c r="J10" t="inlineStr">
        <is>
          <t>Melee</t>
        </is>
      </c>
      <c r="L10" t="inlineStr">
        <is>
          <t>attack_fists</t>
        </is>
      </c>
      <c r="M10" t="inlineStr">
        <is>
          <t>Enemies</t>
        </is>
      </c>
      <c r="O10" t="inlineStr">
        <is>
          <t>Y</t>
        </is>
      </c>
    </row>
    <row r="11">
      <c r="A11" t="inlineStr">
        <is>
          <t>weapon_iron_warhammer</t>
        </is>
      </c>
      <c r="B11" t="inlineStr">
        <is>
          <t>Iron Warhammer</t>
        </is>
      </c>
      <c r="C11" t="inlineStr">
        <is>
          <t>Heavy iron warhammer.</t>
        </is>
      </c>
      <c r="D11" t="n">
        <v>18</v>
      </c>
      <c r="E11" t="inlineStr">
        <is>
          <t>Blunt</t>
        </is>
      </c>
      <c r="F11" t="n">
        <v>2.4</v>
      </c>
      <c r="G11" t="n">
        <v>0.75</v>
      </c>
      <c r="H11" t="n">
        <v>0.26</v>
      </c>
      <c r="I11" t="n">
        <v>0.18</v>
      </c>
      <c r="J11" t="inlineStr">
        <is>
          <t>Melee</t>
        </is>
      </c>
      <c r="L11" t="inlineStr">
        <is>
          <t>attack_fists</t>
        </is>
      </c>
      <c r="M11" t="inlineStr">
        <is>
          <t>Enemies</t>
        </is>
      </c>
      <c r="O11" t="inlineStr">
        <is>
          <t>Y</t>
        </is>
      </c>
    </row>
    <row r="12">
      <c r="A12" t="inlineStr">
        <is>
          <t>weapon_wooden_bow</t>
        </is>
      </c>
      <c r="B12" t="inlineStr">
        <is>
          <t>Wooden Bow</t>
        </is>
      </c>
      <c r="C12" t="inlineStr">
        <is>
          <t>Simple wooden bow.</t>
        </is>
      </c>
      <c r="D12" t="n">
        <v>12</v>
      </c>
      <c r="E12" t="inlineStr">
        <is>
          <t>Piercing</t>
        </is>
      </c>
      <c r="F12" t="n">
        <v>15</v>
      </c>
      <c r="G12" t="n">
        <v>0.8</v>
      </c>
      <c r="H12" t="n">
        <v>0.35</v>
      </c>
      <c r="I12" t="n">
        <v>0.25</v>
      </c>
      <c r="J12" t="inlineStr">
        <is>
          <t>Projectile</t>
        </is>
      </c>
      <c r="K12" t="inlineStr">
        <is>
          <t>iron_arrow</t>
        </is>
      </c>
      <c r="L12" t="inlineStr">
        <is>
          <t>attack_fists</t>
        </is>
      </c>
      <c r="M12" t="inlineStr">
        <is>
          <t>Enemies</t>
        </is>
      </c>
      <c r="O12" t="inlineStr">
        <is>
          <t>Y</t>
        </is>
      </c>
    </row>
    <row r="13">
      <c r="A13" t="inlineStr">
        <is>
          <t>weapon_tyranopode_primary</t>
        </is>
      </c>
      <c r="B13" t="inlineStr">
        <is>
          <t>Tyranopode Attack</t>
        </is>
      </c>
      <c r="C13" t="inlineStr">
        <is>
          <t>Intrinsic monster attack (placeholder balance).</t>
        </is>
      </c>
      <c r="D13" t="n">
        <v>6</v>
      </c>
      <c r="E13" t="inlineStr">
        <is>
          <t>Slashing</t>
        </is>
      </c>
      <c r="F13" t="n">
        <v>1.5</v>
      </c>
      <c r="G13" t="n">
        <v>1</v>
      </c>
      <c r="H13" t="n">
        <v>0.2</v>
      </c>
      <c r="I13" t="n">
        <v>0.15</v>
      </c>
      <c r="J13" t="inlineStr">
        <is>
          <t>Melee</t>
        </is>
      </c>
      <c r="L13" t="inlineStr">
        <is>
          <t>JumpTentaclesSmashAttack</t>
        </is>
      </c>
      <c r="M13" t="inlineStr">
        <is>
          <t>Enemies, Wildlife</t>
        </is>
      </c>
      <c r="O13" t="inlineStr">
        <is>
          <t>Y</t>
        </is>
      </c>
    </row>
    <row r="14">
      <c r="A14" t="inlineStr">
        <is>
          <t>weapon_muscomorph_primary</t>
        </is>
      </c>
      <c r="B14" t="inlineStr">
        <is>
          <t>Muscomorph Attack</t>
        </is>
      </c>
      <c r="C14" t="inlineStr">
        <is>
          <t>Intrinsic monster attack (placeholder balance).</t>
        </is>
      </c>
      <c r="D14" t="n">
        <v>6</v>
      </c>
      <c r="E14" t="inlineStr">
        <is>
          <t>Slashing</t>
        </is>
      </c>
      <c r="F14" t="n">
        <v>1.5</v>
      </c>
      <c r="G14" t="n">
        <v>1</v>
      </c>
      <c r="H14" t="n">
        <v>0.2</v>
      </c>
      <c r="I14" t="n">
        <v>0.15</v>
      </c>
      <c r="J14" t="inlineStr">
        <is>
          <t>Melee</t>
        </is>
      </c>
      <c r="L14" t="inlineStr">
        <is>
          <t>BiteAttack</t>
        </is>
      </c>
      <c r="M14" t="inlineStr">
        <is>
          <t>Enemies, Wildlife</t>
        </is>
      </c>
      <c r="O14" t="inlineStr">
        <is>
          <t>Y</t>
        </is>
      </c>
    </row>
    <row r="15">
      <c r="A15" t="inlineStr">
        <is>
          <t>weapon_telluropod_primary</t>
        </is>
      </c>
      <c r="B15" t="inlineStr">
        <is>
          <t>Telluropod Attack</t>
        </is>
      </c>
      <c r="C15" t="inlineStr">
        <is>
          <t>Intrinsic monster attack (placeholder balance).</t>
        </is>
      </c>
      <c r="D15" t="n">
        <v>6</v>
      </c>
      <c r="E15" t="inlineStr">
        <is>
          <t>Slashing</t>
        </is>
      </c>
      <c r="F15" t="n">
        <v>1.5</v>
      </c>
      <c r="G15" t="n">
        <v>1</v>
      </c>
      <c r="H15" t="n">
        <v>0.2</v>
      </c>
      <c r="I15" t="n">
        <v>0.15</v>
      </c>
      <c r="J15" t="inlineStr">
        <is>
          <t>Melee</t>
        </is>
      </c>
      <c r="L15" t="inlineStr">
        <is>
          <t>BiteAttack</t>
        </is>
      </c>
      <c r="M15" t="inlineStr">
        <is>
          <t>Enemies, Wildlife</t>
        </is>
      </c>
      <c r="O15" t="inlineStr">
        <is>
          <t>Y</t>
        </is>
      </c>
    </row>
    <row r="16">
      <c r="A16" t="inlineStr">
        <is>
          <t>weapon_clypeosaurus_primary</t>
        </is>
      </c>
      <c r="B16" t="inlineStr">
        <is>
          <t>Clypeosaurus Attack</t>
        </is>
      </c>
      <c r="C16" t="inlineStr">
        <is>
          <t>Intrinsic monster attack (placeholder balance).</t>
        </is>
      </c>
      <c r="D16" t="n">
        <v>6</v>
      </c>
      <c r="E16" t="inlineStr">
        <is>
          <t>Slashing</t>
        </is>
      </c>
      <c r="F16" t="n">
        <v>1.5</v>
      </c>
      <c r="G16" t="n">
        <v>1</v>
      </c>
      <c r="H16" t="n">
        <v>0.2</v>
      </c>
      <c r="I16" t="n">
        <v>0.15</v>
      </c>
      <c r="J16" t="inlineStr">
        <is>
          <t>Melee</t>
        </is>
      </c>
      <c r="L16" t="inlineStr">
        <is>
          <t>RoarAntennaElectricAttack</t>
        </is>
      </c>
      <c r="M16" t="inlineStr">
        <is>
          <t>Enemies, Wildlife</t>
        </is>
      </c>
      <c r="O16" t="inlineStr">
        <is>
          <t>Y</t>
        </is>
      </c>
    </row>
    <row r="17">
      <c r="A17" t="inlineStr">
        <is>
          <t>weapon_giant_slug_primary</t>
        </is>
      </c>
      <c r="B17" t="inlineStr">
        <is>
          <t>Giant Slug Attack</t>
        </is>
      </c>
      <c r="C17" t="inlineStr">
        <is>
          <t>Intrinsic monster attack (placeholder balance).</t>
        </is>
      </c>
      <c r="D17" t="n">
        <v>6</v>
      </c>
      <c r="E17" t="inlineStr">
        <is>
          <t>Slashing</t>
        </is>
      </c>
      <c r="F17" t="n">
        <v>1.5</v>
      </c>
      <c r="G17" t="n">
        <v>1</v>
      </c>
      <c r="H17" t="n">
        <v>0.2</v>
      </c>
      <c r="I17" t="n">
        <v>0.15</v>
      </c>
      <c r="J17" t="inlineStr">
        <is>
          <t>Melee</t>
        </is>
      </c>
      <c r="L17" t="inlineStr">
        <is>
          <t>CrawlForwardTurnLeftSpittersAttack</t>
        </is>
      </c>
      <c r="M17" t="inlineStr">
        <is>
          <t>Enemies, Wildlife</t>
        </is>
      </c>
      <c r="O17" t="inlineStr">
        <is>
          <t>Y</t>
        </is>
      </c>
    </row>
    <row r="18">
      <c r="A18" t="inlineStr">
        <is>
          <t>weapon_karcinomorph_primary</t>
        </is>
      </c>
      <c r="B18" t="inlineStr">
        <is>
          <t>Karcinomorph Attack</t>
        </is>
      </c>
      <c r="C18" t="inlineStr">
        <is>
          <t>Intrinsic monster attack (placeholder balance).</t>
        </is>
      </c>
      <c r="D18" t="n">
        <v>6</v>
      </c>
      <c r="E18" t="inlineStr">
        <is>
          <t>Slashing</t>
        </is>
      </c>
      <c r="F18" t="n">
        <v>1.5</v>
      </c>
      <c r="G18" t="n">
        <v>1</v>
      </c>
      <c r="H18" t="n">
        <v>0.2</v>
      </c>
      <c r="I18" t="n">
        <v>0.15</v>
      </c>
      <c r="J18" t="inlineStr">
        <is>
          <t>Melee</t>
        </is>
      </c>
      <c r="L18" t="inlineStr">
        <is>
          <t>JumpLegsAttack</t>
        </is>
      </c>
      <c r="M18" t="inlineStr">
        <is>
          <t>Enemies, Wildlife</t>
        </is>
      </c>
      <c r="O18" t="inlineStr">
        <is>
          <t>Y</t>
        </is>
      </c>
    </row>
    <row r="19">
      <c r="A19" t="inlineStr">
        <is>
          <t>weapon_scyver_primary</t>
        </is>
      </c>
      <c r="B19" t="inlineStr">
        <is>
          <t>Scyver Attack</t>
        </is>
      </c>
      <c r="C19" t="inlineStr">
        <is>
          <t>Intrinsic monster attack (placeholder balance).</t>
        </is>
      </c>
      <c r="D19" t="n">
        <v>6</v>
      </c>
      <c r="E19" t="inlineStr">
        <is>
          <t>Slashing</t>
        </is>
      </c>
      <c r="F19" t="n">
        <v>1.5</v>
      </c>
      <c r="G19" t="n">
        <v>1</v>
      </c>
      <c r="H19" t="n">
        <v>0.2</v>
      </c>
      <c r="I19" t="n">
        <v>0.15</v>
      </c>
      <c r="J19" t="inlineStr">
        <is>
          <t>Melee</t>
        </is>
      </c>
      <c r="L19" t="inlineStr">
        <is>
          <t>BiteAttack1</t>
        </is>
      </c>
      <c r="M19" t="inlineStr">
        <is>
          <t>Enemies, Wildlife</t>
        </is>
      </c>
      <c r="O19" t="inlineStr">
        <is>
          <t>Y</t>
        </is>
      </c>
    </row>
    <row r="20">
      <c r="A20" t="inlineStr">
        <is>
          <t>weapon_scolomorph_primary</t>
        </is>
      </c>
      <c r="B20" t="inlineStr">
        <is>
          <t>Scolomorph Attack</t>
        </is>
      </c>
      <c r="C20" t="inlineStr">
        <is>
          <t>Intrinsic monster attack (placeholder balance).</t>
        </is>
      </c>
      <c r="D20" t="n">
        <v>6</v>
      </c>
      <c r="E20" t="inlineStr">
        <is>
          <t>Slashing</t>
        </is>
      </c>
      <c r="F20" t="n">
        <v>1.5</v>
      </c>
      <c r="G20" t="n">
        <v>1</v>
      </c>
      <c r="H20" t="n">
        <v>0.2</v>
      </c>
      <c r="I20" t="n">
        <v>0.15</v>
      </c>
      <c r="J20" t="inlineStr">
        <is>
          <t>Melee</t>
        </is>
      </c>
      <c r="L20" t="inlineStr">
        <is>
          <t>BiteForwardAttack</t>
        </is>
      </c>
      <c r="M20" t="inlineStr">
        <is>
          <t>Enemies, Wildlife</t>
        </is>
      </c>
      <c r="O20" t="inlineStr">
        <is>
          <t>Y</t>
        </is>
      </c>
    </row>
    <row r="21">
      <c r="A21" t="inlineStr">
        <is>
          <t>weapon_tetrachnide_primary</t>
        </is>
      </c>
      <c r="B21" t="inlineStr">
        <is>
          <t>Tetrachnide Attack</t>
        </is>
      </c>
      <c r="C21" t="inlineStr">
        <is>
          <t>Intrinsic monster attack (placeholder balance).</t>
        </is>
      </c>
      <c r="D21" t="n">
        <v>6</v>
      </c>
      <c r="E21" t="inlineStr">
        <is>
          <t>Slashing</t>
        </is>
      </c>
      <c r="F21" t="n">
        <v>1.5</v>
      </c>
      <c r="G21" t="n">
        <v>1</v>
      </c>
      <c r="H21" t="n">
        <v>0.2</v>
      </c>
      <c r="I21" t="n">
        <v>0.15</v>
      </c>
      <c r="J21" t="inlineStr">
        <is>
          <t>Melee</t>
        </is>
      </c>
      <c r="L21" t="inlineStr">
        <is>
          <t>ClawsAttack</t>
        </is>
      </c>
      <c r="M21" t="inlineStr">
        <is>
          <t>Enemies, Wildlife</t>
        </is>
      </c>
      <c r="O21" t="inlineStr">
        <is>
          <t>Y</t>
        </is>
      </c>
    </row>
    <row r="22">
      <c r="A22" t="inlineStr">
        <is>
          <t>weapon_vespomorph_primary</t>
        </is>
      </c>
      <c r="B22" t="inlineStr">
        <is>
          <t>Vespomorph Attack</t>
        </is>
      </c>
      <c r="C22" t="inlineStr">
        <is>
          <t>Intrinsic monster attack (placeholder balance).</t>
        </is>
      </c>
      <c r="D22" t="n">
        <v>6</v>
      </c>
      <c r="E22" t="inlineStr">
        <is>
          <t>Slashing</t>
        </is>
      </c>
      <c r="F22" t="n">
        <v>1.5</v>
      </c>
      <c r="G22" t="n">
        <v>1</v>
      </c>
      <c r="H22" t="n">
        <v>0.2</v>
      </c>
      <c r="I22" t="n">
        <v>0.15</v>
      </c>
      <c r="J22" t="inlineStr">
        <is>
          <t>Melee</t>
        </is>
      </c>
      <c r="L22" t="inlineStr">
        <is>
          <t>FlyBiteAttack</t>
        </is>
      </c>
      <c r="M22" t="inlineStr">
        <is>
          <t>Enemies, Wildlife</t>
        </is>
      </c>
      <c r="O22" t="inlineStr">
        <is>
          <t>Y</t>
        </is>
      </c>
    </row>
    <row r="23">
      <c r="A23" t="inlineStr">
        <is>
          <t>weapon_morphorrid_primary</t>
        </is>
      </c>
      <c r="B23" t="inlineStr">
        <is>
          <t>Morphorrid Attack</t>
        </is>
      </c>
      <c r="C23" t="inlineStr">
        <is>
          <t>Intrinsic monster attack (placeholder balance).</t>
        </is>
      </c>
      <c r="D23" t="n">
        <v>6</v>
      </c>
      <c r="E23" t="inlineStr">
        <is>
          <t>Slashing</t>
        </is>
      </c>
      <c r="F23" t="n">
        <v>1.5</v>
      </c>
      <c r="G23" t="n">
        <v>1</v>
      </c>
      <c r="H23" t="n">
        <v>0.2</v>
      </c>
      <c r="I23" t="n">
        <v>0.15</v>
      </c>
      <c r="J23" t="inlineStr">
        <is>
          <t>Melee</t>
        </is>
      </c>
      <c r="L23" t="inlineStr">
        <is>
          <t>JumpTentaclesAttack</t>
        </is>
      </c>
      <c r="M23" t="inlineStr">
        <is>
          <t>Enemies, Wildlife</t>
        </is>
      </c>
      <c r="O23" t="inlineStr">
        <is>
          <t>Y</t>
        </is>
      </c>
    </row>
    <row r="24">
      <c r="A24" t="inlineStr">
        <is>
          <t>weapon_carcidonte_primary</t>
        </is>
      </c>
      <c r="B24" t="inlineStr">
        <is>
          <t>Carcidonte Attack</t>
        </is>
      </c>
      <c r="C24" t="inlineStr">
        <is>
          <t>Intrinsic monster attack (placeholder balance).</t>
        </is>
      </c>
      <c r="D24" t="n">
        <v>6</v>
      </c>
      <c r="E24" t="inlineStr">
        <is>
          <t>Slashing</t>
        </is>
      </c>
      <c r="F24" t="n">
        <v>1.5</v>
      </c>
      <c r="G24" t="n">
        <v>1</v>
      </c>
      <c r="H24" t="n">
        <v>0.2</v>
      </c>
      <c r="I24" t="n">
        <v>0.15</v>
      </c>
      <c r="J24" t="inlineStr">
        <is>
          <t>Melee</t>
        </is>
      </c>
      <c r="L24" t="inlineStr">
        <is>
          <t>ClawsAttack</t>
        </is>
      </c>
      <c r="M24" t="inlineStr">
        <is>
          <t>Enemies, Wildlife</t>
        </is>
      </c>
      <c r="O24" t="inlineStr">
        <is>
          <t>Y</t>
        </is>
      </c>
    </row>
    <row r="25">
      <c r="A25" t="inlineStr">
        <is>
          <t>weapon_entomorane_primary</t>
        </is>
      </c>
      <c r="B25" t="inlineStr">
        <is>
          <t>Entomorane Attack</t>
        </is>
      </c>
      <c r="C25" t="inlineStr">
        <is>
          <t>Intrinsic monster attack (placeholder balance).</t>
        </is>
      </c>
      <c r="D25" t="n">
        <v>6</v>
      </c>
      <c r="E25" t="inlineStr">
        <is>
          <t>Slashing</t>
        </is>
      </c>
      <c r="F25" t="n">
        <v>1.5</v>
      </c>
      <c r="G25" t="n">
        <v>1</v>
      </c>
      <c r="H25" t="n">
        <v>0.2</v>
      </c>
      <c r="I25" t="n">
        <v>0.15</v>
      </c>
      <c r="J25" t="inlineStr">
        <is>
          <t>Melee</t>
        </is>
      </c>
      <c r="L25" t="inlineStr">
        <is>
          <t>BiteAttack</t>
        </is>
      </c>
      <c r="M25" t="inlineStr">
        <is>
          <t>Enemies, Wildlife</t>
        </is>
      </c>
      <c r="O25" t="inlineStr">
        <is>
          <t>Y</t>
        </is>
      </c>
    </row>
    <row r="26">
      <c r="A26" t="inlineStr">
        <is>
          <t>weapon_laminferox_primary</t>
        </is>
      </c>
      <c r="B26" t="inlineStr">
        <is>
          <t>Laminferox Attack</t>
        </is>
      </c>
      <c r="C26" t="inlineStr">
        <is>
          <t>Intrinsic monster attack (placeholder balance).</t>
        </is>
      </c>
      <c r="D26" t="n">
        <v>6</v>
      </c>
      <c r="E26" t="inlineStr">
        <is>
          <t>Slashing</t>
        </is>
      </c>
      <c r="F26" t="n">
        <v>1.5</v>
      </c>
      <c r="G26" t="n">
        <v>1</v>
      </c>
      <c r="H26" t="n">
        <v>0.2</v>
      </c>
      <c r="I26" t="n">
        <v>0.15</v>
      </c>
      <c r="J26" t="inlineStr">
        <is>
          <t>Melee</t>
        </is>
      </c>
      <c r="L26" t="inlineStr">
        <is>
          <t>BiteAttack</t>
        </is>
      </c>
      <c r="M26" t="inlineStr">
        <is>
          <t>Enemies, Wildlife</t>
        </is>
      </c>
      <c r="O26" t="inlineStr">
        <is>
          <t>Y</t>
        </is>
      </c>
    </row>
    <row r="27">
      <c r="A27" t="inlineStr">
        <is>
          <t>weapon_bufomorph_primary</t>
        </is>
      </c>
      <c r="B27" t="inlineStr">
        <is>
          <t>Bufomorph Attack</t>
        </is>
      </c>
      <c r="D27" t="n">
        <v>6</v>
      </c>
      <c r="E27" t="inlineStr">
        <is>
          <t>Slashing</t>
        </is>
      </c>
      <c r="F27" t="n">
        <v>1.5</v>
      </c>
      <c r="G27" t="n">
        <v>1</v>
      </c>
      <c r="H27" t="n">
        <v>0.2</v>
      </c>
      <c r="I27" t="n">
        <v>0.15</v>
      </c>
      <c r="J27" t="inlineStr">
        <is>
          <t>Melee</t>
        </is>
      </c>
      <c r="L27" t="inlineStr">
        <is>
          <t>BiteAttack</t>
        </is>
      </c>
      <c r="M27" t="inlineStr">
        <is>
          <t>Enemies, Wildlife</t>
        </is>
      </c>
      <c r="O27" t="inlineStr">
        <is>
          <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Profile ID</t>
        </is>
      </c>
      <c r="B1" t="inlineStr">
        <is>
          <t>Idle Animation</t>
        </is>
      </c>
      <c r="C1" t="inlineStr">
        <is>
          <t>Walk Animation</t>
        </is>
      </c>
      <c r="D1" t="inlineStr">
        <is>
          <t>Run Animation</t>
        </is>
      </c>
      <c r="E1" t="inlineStr">
        <is>
          <t>Locomotion Reference Speed</t>
        </is>
      </c>
      <c r="F1" t="inlineStr">
        <is>
          <t>Enabled</t>
        </is>
      </c>
      <c r="G1" t="inlineStr">
        <is>
          <t>Death Animation</t>
        </is>
      </c>
      <c r="H1" t="inlineStr">
        <is>
          <t>Hit Reaction Animation</t>
        </is>
      </c>
      <c r="I1" t="inlineStr">
        <is>
          <t>Upper Body Split Bone</t>
        </is>
      </c>
      <c r="J1" t="inlineStr">
        <is>
          <t>Turn Left Animation</t>
        </is>
      </c>
      <c r="K1" t="inlineStr">
        <is>
          <t>Turn Right Animation</t>
        </is>
      </c>
      <c r="L1" t="inlineStr">
        <is>
          <t>Turn Left Duration</t>
        </is>
      </c>
      <c r="M1" t="inlineStr">
        <is>
          <t>Turn Right Duration</t>
        </is>
      </c>
      <c r="N1" t="inlineStr">
        <is>
          <t>Work Animation</t>
        </is>
      </c>
    </row>
    <row r="2">
      <c r="A2" t="inlineStr">
        <is>
          <t>fox</t>
        </is>
      </c>
      <c r="B2" t="inlineStr">
        <is>
          <t>Survey</t>
        </is>
      </c>
      <c r="C2" t="inlineStr">
        <is>
          <t>Walk</t>
        </is>
      </c>
      <c r="D2" t="inlineStr">
        <is>
          <t>Run</t>
        </is>
      </c>
      <c r="E2" t="n">
        <v>4.5</v>
      </c>
      <c r="F2" t="inlineStr">
        <is>
          <t>Y</t>
        </is>
      </c>
    </row>
    <row r="3">
      <c r="A3" t="inlineStr">
        <is>
          <t>quadruped</t>
        </is>
      </c>
      <c r="B3" t="inlineStr">
        <is>
          <t>Idle</t>
        </is>
      </c>
      <c r="C3" t="inlineStr">
        <is>
          <t>Walk</t>
        </is>
      </c>
      <c r="D3" t="inlineStr">
        <is>
          <t>Run</t>
        </is>
      </c>
      <c r="E3" t="n">
        <v>4.5</v>
      </c>
      <c r="F3" t="inlineStr">
        <is>
          <t>Y</t>
        </is>
      </c>
    </row>
    <row r="4">
      <c r="A4" t="inlineStr">
        <is>
          <t>humanoid</t>
        </is>
      </c>
      <c r="B4" t="inlineStr">
        <is>
          <t>Idle</t>
        </is>
      </c>
      <c r="C4" t="inlineStr">
        <is>
          <t>Walk</t>
        </is>
      </c>
      <c r="D4" t="inlineStr">
        <is>
          <t>Run</t>
        </is>
      </c>
      <c r="E4" t="n">
        <v>4</v>
      </c>
      <c r="F4" t="inlineStr">
        <is>
          <t>Y</t>
        </is>
      </c>
    </row>
    <row r="5">
      <c r="A5" t="inlineStr">
        <is>
          <t>cavecrawler</t>
        </is>
      </c>
      <c r="B5" t="inlineStr">
        <is>
          <t>Idle</t>
        </is>
      </c>
      <c r="C5" t="inlineStr">
        <is>
          <t>CrawlForward</t>
        </is>
      </c>
      <c r="E5" t="n">
        <v>3.5</v>
      </c>
      <c r="F5" t="inlineStr">
        <is>
          <t>Y</t>
        </is>
      </c>
      <c r="G5" t="inlineStr">
        <is>
          <t>Death</t>
        </is>
      </c>
      <c r="H5" t="inlineStr">
        <is>
          <t>GetHit1</t>
        </is>
      </c>
      <c r="J5" t="inlineStr">
        <is>
          <t>CrawlLeft</t>
        </is>
      </c>
      <c r="K5" t="inlineStr">
        <is>
          <t>CrawlRight</t>
        </is>
      </c>
      <c r="L5" t="n">
        <v>1</v>
      </c>
      <c r="M5" t="n">
        <v>1</v>
      </c>
    </row>
    <row r="6">
      <c r="A6" t="inlineStr">
        <is>
          <t>human_base</t>
        </is>
      </c>
      <c r="B6" t="inlineStr">
        <is>
          <t>Idle</t>
        </is>
      </c>
      <c r="C6" t="inlineStr">
        <is>
          <t>Walk</t>
        </is>
      </c>
      <c r="D6" t="inlineStr">
        <is>
          <t>Run</t>
        </is>
      </c>
      <c r="E6" t="n">
        <v>4.5</v>
      </c>
      <c r="F6" t="inlineStr">
        <is>
          <t>Y</t>
        </is>
      </c>
      <c r="G6" t="inlineStr">
        <is>
          <t>Death</t>
        </is>
      </c>
      <c r="H6" t="inlineStr">
        <is>
          <t>Hit</t>
        </is>
      </c>
      <c r="I6" t="inlineStr">
        <is>
          <t>spine_02</t>
        </is>
      </c>
      <c r="N6" t="inlineStr">
        <is>
          <t>Mine</t>
        </is>
      </c>
    </row>
    <row r="7">
      <c r="A7" t="inlineStr">
        <is>
          <t>tyranopode</t>
        </is>
      </c>
      <c r="B7" t="inlineStr">
        <is>
          <t>Idle</t>
        </is>
      </c>
      <c r="C7" t="inlineStr">
        <is>
          <t>CrawlForward</t>
        </is>
      </c>
      <c r="D7" t="inlineStr">
        <is>
          <t>CrawlForward</t>
        </is>
      </c>
      <c r="E7" t="n">
        <v>3.5</v>
      </c>
      <c r="F7" t="inlineStr">
        <is>
          <t>Y</t>
        </is>
      </c>
      <c r="G7" t="inlineStr">
        <is>
          <t>Death</t>
        </is>
      </c>
      <c r="H7" t="inlineStr">
        <is>
          <t>GetHit</t>
        </is>
      </c>
      <c r="J7" t="inlineStr">
        <is>
          <t>CrawlLeft</t>
        </is>
      </c>
      <c r="K7" t="inlineStr">
        <is>
          <t>CrawlRight</t>
        </is>
      </c>
      <c r="L7" t="n">
        <v>1</v>
      </c>
      <c r="M7" t="n">
        <v>1</v>
      </c>
    </row>
    <row r="8">
      <c r="A8" t="inlineStr">
        <is>
          <t>muscomorph</t>
        </is>
      </c>
      <c r="B8" t="inlineStr">
        <is>
          <t>IdleBreathe</t>
        </is>
      </c>
      <c r="C8" t="inlineStr">
        <is>
          <t>CrawlForward</t>
        </is>
      </c>
      <c r="D8" t="inlineStr">
        <is>
          <t>CrawlForward</t>
        </is>
      </c>
      <c r="E8" t="n">
        <v>3.5</v>
      </c>
      <c r="F8" t="inlineStr">
        <is>
          <t>Y</t>
        </is>
      </c>
      <c r="G8" t="inlineStr">
        <is>
          <t>Death</t>
        </is>
      </c>
      <c r="H8" t="inlineStr">
        <is>
          <t>GetHit1</t>
        </is>
      </c>
      <c r="J8" t="inlineStr">
        <is>
          <t>CrawlLeft</t>
        </is>
      </c>
      <c r="K8" t="inlineStr">
        <is>
          <t>CrawlRight</t>
        </is>
      </c>
      <c r="L8" t="n">
        <v>1</v>
      </c>
      <c r="M8" t="n">
        <v>1</v>
      </c>
    </row>
    <row r="9">
      <c r="A9" t="inlineStr">
        <is>
          <t>telluropod</t>
        </is>
      </c>
      <c r="B9" t="inlineStr">
        <is>
          <t>IdleBreathe</t>
        </is>
      </c>
      <c r="E9" t="n">
        <v>3.5</v>
      </c>
      <c r="F9" t="inlineStr">
        <is>
          <t>Y</t>
        </is>
      </c>
      <c r="G9" t="inlineStr">
        <is>
          <t>Death</t>
        </is>
      </c>
    </row>
    <row r="10">
      <c r="A10" t="inlineStr">
        <is>
          <t>clypeosaurus</t>
        </is>
      </c>
      <c r="B10" t="inlineStr">
        <is>
          <t>IdleBreathe</t>
        </is>
      </c>
      <c r="C10" t="inlineStr">
        <is>
          <t>Walk</t>
        </is>
      </c>
      <c r="D10" t="inlineStr">
        <is>
          <t>Walk</t>
        </is>
      </c>
      <c r="E10" t="n">
        <v>3.5</v>
      </c>
      <c r="F10" t="inlineStr">
        <is>
          <t>Y</t>
        </is>
      </c>
      <c r="G10" t="inlineStr">
        <is>
          <t>Death</t>
        </is>
      </c>
      <c r="J10" t="inlineStr">
        <is>
          <t>TurnLeft</t>
        </is>
      </c>
      <c r="K10" t="inlineStr">
        <is>
          <t>TurnRight</t>
        </is>
      </c>
      <c r="L10" t="n">
        <v>1</v>
      </c>
      <c r="M10" t="n">
        <v>1</v>
      </c>
    </row>
    <row r="11">
      <c r="A11" t="inlineStr">
        <is>
          <t>giant_slug</t>
        </is>
      </c>
      <c r="B11" t="inlineStr">
        <is>
          <t>IdleBreathe</t>
        </is>
      </c>
      <c r="C11" t="inlineStr">
        <is>
          <t>CrawlForward</t>
        </is>
      </c>
      <c r="D11" t="inlineStr">
        <is>
          <t>CrawlForward</t>
        </is>
      </c>
      <c r="E11" t="n">
        <v>3.5</v>
      </c>
      <c r="F11" t="inlineStr">
        <is>
          <t>Y</t>
        </is>
      </c>
      <c r="G11" t="inlineStr">
        <is>
          <t>Death</t>
        </is>
      </c>
    </row>
    <row r="12">
      <c r="A12" t="inlineStr">
        <is>
          <t>karcinomorph</t>
        </is>
      </c>
      <c r="B12" t="inlineStr">
        <is>
          <t>IdleBreathe</t>
        </is>
      </c>
      <c r="C12" t="inlineStr">
        <is>
          <t>CrawlForward</t>
        </is>
      </c>
      <c r="D12" t="inlineStr">
        <is>
          <t>CrawlForward</t>
        </is>
      </c>
      <c r="E12" t="n">
        <v>3.5</v>
      </c>
      <c r="F12" t="inlineStr">
        <is>
          <t>Y</t>
        </is>
      </c>
      <c r="G12" t="inlineStr">
        <is>
          <t>Death</t>
        </is>
      </c>
      <c r="J12" t="inlineStr">
        <is>
          <t>CrawlLeft</t>
        </is>
      </c>
      <c r="K12" t="inlineStr">
        <is>
          <t>CrawlRight</t>
        </is>
      </c>
      <c r="L12" t="n">
        <v>1</v>
      </c>
      <c r="M12" t="n">
        <v>1</v>
      </c>
    </row>
    <row r="13">
      <c r="A13" t="inlineStr">
        <is>
          <t>scyver</t>
        </is>
      </c>
      <c r="B13" t="inlineStr">
        <is>
          <t>Idle</t>
        </is>
      </c>
      <c r="E13" t="n">
        <v>3.5</v>
      </c>
      <c r="F13" t="inlineStr">
        <is>
          <t>Y</t>
        </is>
      </c>
    </row>
    <row r="14">
      <c r="A14" t="inlineStr">
        <is>
          <t>scolomorph</t>
        </is>
      </c>
      <c r="B14" t="inlineStr">
        <is>
          <t>Idle</t>
        </is>
      </c>
      <c r="C14" t="inlineStr">
        <is>
          <t>CrawlForward</t>
        </is>
      </c>
      <c r="D14" t="inlineStr">
        <is>
          <t>CrawlForward</t>
        </is>
      </c>
      <c r="E14" t="n">
        <v>3.5</v>
      </c>
      <c r="F14" t="inlineStr">
        <is>
          <t>Y</t>
        </is>
      </c>
      <c r="G14" t="inlineStr">
        <is>
          <t>Death</t>
        </is>
      </c>
    </row>
    <row r="15">
      <c r="A15" t="inlineStr">
        <is>
          <t>tetrachnide</t>
        </is>
      </c>
      <c r="B15" t="inlineStr">
        <is>
          <t>IdleBreathe</t>
        </is>
      </c>
      <c r="C15" t="inlineStr">
        <is>
          <t>CrawlForward</t>
        </is>
      </c>
      <c r="D15" t="inlineStr">
        <is>
          <t>CrawlForward</t>
        </is>
      </c>
      <c r="E15" t="n">
        <v>3.5</v>
      </c>
      <c r="F15" t="inlineStr">
        <is>
          <t>Y</t>
        </is>
      </c>
      <c r="G15" t="inlineStr">
        <is>
          <t>Death</t>
        </is>
      </c>
      <c r="J15" t="inlineStr">
        <is>
          <t>CrawlLeft</t>
        </is>
      </c>
      <c r="K15" t="inlineStr">
        <is>
          <t>CrawlRight</t>
        </is>
      </c>
      <c r="L15" t="n">
        <v>1</v>
      </c>
      <c r="M15" t="n">
        <v>1</v>
      </c>
    </row>
    <row r="16">
      <c r="A16" t="inlineStr">
        <is>
          <t>vespomorph</t>
        </is>
      </c>
      <c r="B16" t="inlineStr">
        <is>
          <t>Idle</t>
        </is>
      </c>
      <c r="C16" t="inlineStr">
        <is>
          <t>WalkForward</t>
        </is>
      </c>
      <c r="D16" t="inlineStr">
        <is>
          <t>WalkForward</t>
        </is>
      </c>
      <c r="E16" t="n">
        <v>3.5</v>
      </c>
      <c r="F16" t="inlineStr">
        <is>
          <t>Y</t>
        </is>
      </c>
      <c r="G16" t="inlineStr">
        <is>
          <t>Death</t>
        </is>
      </c>
      <c r="H16" t="inlineStr">
        <is>
          <t>GetHit</t>
        </is>
      </c>
    </row>
    <row r="17">
      <c r="A17" t="inlineStr">
        <is>
          <t>morphorrid</t>
        </is>
      </c>
      <c r="B17" t="inlineStr">
        <is>
          <t>Idle</t>
        </is>
      </c>
      <c r="C17" t="inlineStr">
        <is>
          <t>WalkForward</t>
        </is>
      </c>
      <c r="D17" t="inlineStr">
        <is>
          <t>WalkForward</t>
        </is>
      </c>
      <c r="E17" t="n">
        <v>3.5</v>
      </c>
      <c r="F17" t="inlineStr">
        <is>
          <t>Y</t>
        </is>
      </c>
      <c r="G17" t="inlineStr">
        <is>
          <t>Death</t>
        </is>
      </c>
    </row>
    <row r="18">
      <c r="A18" t="inlineStr">
        <is>
          <t>carcidonte</t>
        </is>
      </c>
      <c r="B18" t="inlineStr">
        <is>
          <t>Idle</t>
        </is>
      </c>
      <c r="C18" t="inlineStr">
        <is>
          <t>WalkForward</t>
        </is>
      </c>
      <c r="D18" t="inlineStr">
        <is>
          <t>WalkForward</t>
        </is>
      </c>
      <c r="E18" t="n">
        <v>3.5</v>
      </c>
      <c r="F18" t="inlineStr">
        <is>
          <t>Y</t>
        </is>
      </c>
      <c r="G18" t="inlineStr">
        <is>
          <t>Death</t>
        </is>
      </c>
    </row>
    <row r="19">
      <c r="A19" t="inlineStr">
        <is>
          <t>entomorane</t>
        </is>
      </c>
      <c r="B19" t="inlineStr">
        <is>
          <t>Idle</t>
        </is>
      </c>
      <c r="C19" t="inlineStr">
        <is>
          <t>WalkForward</t>
        </is>
      </c>
      <c r="D19" t="inlineStr">
        <is>
          <t>WalkForward</t>
        </is>
      </c>
      <c r="E19" t="n">
        <v>3.5</v>
      </c>
      <c r="F19" t="inlineStr">
        <is>
          <t>Y</t>
        </is>
      </c>
      <c r="G19" t="inlineStr">
        <is>
          <t>Death</t>
        </is>
      </c>
    </row>
    <row r="20">
      <c r="A20" t="inlineStr">
        <is>
          <t>laminferox</t>
        </is>
      </c>
      <c r="B20" t="inlineStr">
        <is>
          <t>IdleBreathe</t>
        </is>
      </c>
      <c r="C20" t="inlineStr">
        <is>
          <t>WalkForward</t>
        </is>
      </c>
      <c r="D20" t="inlineStr">
        <is>
          <t>WalkForward</t>
        </is>
      </c>
      <c r="E20" t="n">
        <v>3.5</v>
      </c>
      <c r="F20" t="inlineStr">
        <is>
          <t>Y</t>
        </is>
      </c>
      <c r="G20" t="inlineStr">
        <is>
          <t>Death</t>
        </is>
      </c>
    </row>
    <row r="21">
      <c r="A21" t="inlineStr">
        <is>
          <t>bufomorph</t>
        </is>
      </c>
      <c r="B21" t="inlineStr">
        <is>
          <t>IdleLookAround</t>
        </is>
      </c>
      <c r="C21" t="inlineStr">
        <is>
          <t>Run</t>
        </is>
      </c>
      <c r="D21" t="inlineStr">
        <is>
          <t>Run</t>
        </is>
      </c>
      <c r="E21" t="n">
        <v>3.5</v>
      </c>
      <c r="F21" t="inlineStr">
        <is>
          <t>Y</t>
        </is>
      </c>
      <c r="G21" t="inlineStr">
        <is>
          <t>Death</t>
        </is>
      </c>
      <c r="H21" t="inlineStr">
        <is>
          <t>GetHitFront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selection activeCell="I15" sqref="I15"/>
    </sheetView>
  </sheetViews>
  <sheetFormatPr baseColWidth="8" defaultRowHeight="15"/>
  <cols>
    <col width="10.85546875" bestFit="1" customWidth="1" style="36" min="1" max="1"/>
    <col width="13.42578125" bestFit="1" customWidth="1" style="36" min="2" max="2"/>
    <col width="29.7109375" bestFit="1" customWidth="1" style="36" min="3" max="3"/>
    <col width="8.140625" bestFit="1" customWidth="1" style="36" min="4" max="4"/>
  </cols>
  <sheetData>
    <row r="1">
      <c r="A1" t="inlineStr">
        <is>
          <t>Category ID</t>
        </is>
      </c>
      <c r="B1" t="inlineStr">
        <is>
          <t>Display Name</t>
        </is>
      </c>
      <c r="C1" t="inlineStr">
        <is>
          <t>Description</t>
        </is>
      </c>
      <c r="D1" t="inlineStr">
        <is>
          <t>Enabled</t>
        </is>
      </c>
    </row>
    <row r="2">
      <c r="A2" t="inlineStr">
        <is>
          <t>residential</t>
        </is>
      </c>
      <c r="B2" t="inlineStr">
        <is>
          <t>Residential</t>
        </is>
      </c>
      <c r="C2" t="inlineStr">
        <is>
          <t>Shelters and housing structures</t>
        </is>
      </c>
      <c r="D2" t="inlineStr">
        <is>
          <t>Y</t>
        </is>
      </c>
    </row>
    <row r="3">
      <c r="A3" t="inlineStr">
        <is>
          <t>production</t>
        </is>
      </c>
      <c r="B3" t="inlineStr">
        <is>
          <t>Production</t>
        </is>
      </c>
      <c r="C3" t="inlineStr">
        <is>
          <t>Crafting and refining structures</t>
        </is>
      </c>
      <c r="D3" t="inlineStr">
        <is>
          <t>Y</t>
        </is>
      </c>
    </row>
    <row r="4">
      <c r="A4" t="inlineStr">
        <is>
          <t>defense</t>
        </is>
      </c>
      <c r="B4" t="inlineStr">
        <is>
          <t>Defense</t>
        </is>
      </c>
      <c r="C4" t="inlineStr">
        <is>
          <t>Walls, towers, and fortifications</t>
        </is>
      </c>
      <c r="D4" t="inlineStr">
        <is>
          <t>Y</t>
        </is>
      </c>
    </row>
    <row r="5">
      <c r="A5" t="inlineStr">
        <is>
          <t>storage</t>
        </is>
      </c>
      <c r="B5" t="inlineStr">
        <is>
          <t>Storage</t>
        </is>
      </c>
      <c r="C5" t="inlineStr">
        <is>
          <t>Chests, vaults, and warehouses</t>
        </is>
      </c>
      <c r="D5" t="inlineStr">
        <is>
          <t>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7"/>
  <sheetViews>
    <sheetView workbookViewId="0">
      <selection activeCell="I15" sqref="I15"/>
    </sheetView>
  </sheetViews>
  <sheetFormatPr baseColWidth="8" defaultRowHeight="15"/>
  <cols>
    <col width="13.28515625" bestFit="1" customWidth="1" style="36" min="1" max="1"/>
    <col width="12.85546875" bestFit="1" customWidth="1" style="36" min="2" max="2"/>
    <col width="10.7109375" bestFit="1" customWidth="1" style="36" min="3" max="3"/>
    <col width="26.85546875" bestFit="1" customWidth="1" style="36" min="4" max="4"/>
    <col width="35.7109375" bestFit="1" customWidth="1" style="36" min="5" max="5"/>
    <col width="15.85546875" bestFit="1" customWidth="1" style="36" min="6" max="6"/>
    <col width="6.7109375" bestFit="1" customWidth="1" style="36" min="7" max="7"/>
    <col width="10.28515625" bestFit="1" customWidth="1" style="36" min="8" max="8"/>
    <col width="13.5703125" bestFit="1" customWidth="1" style="36" min="9" max="9"/>
    <col width="14.7109375" bestFit="1" customWidth="1" style="36" min="10" max="11"/>
    <col width="15.7109375" bestFit="1" customWidth="1" style="36" min="12" max="12"/>
    <col width="9.85546875" bestFit="1" customWidth="1" style="36" min="13" max="13"/>
    <col width="18.7109375" bestFit="1" customWidth="1" style="36" min="14" max="14"/>
    <col width="13.42578125" bestFit="1" customWidth="1" style="36" min="15" max="15"/>
    <col width="16.42578125" bestFit="1" customWidth="1" style="36" min="16" max="16"/>
    <col width="16.85546875" bestFit="1" customWidth="1" style="36" min="17" max="17"/>
    <col width="13.140625" bestFit="1" customWidth="1" style="36" min="18" max="18"/>
    <col width="8.140625" bestFit="1" customWidth="1" style="36" min="19" max="19"/>
    <col width="17.7109375" bestFit="1" customWidth="1" style="36" min="20" max="20"/>
  </cols>
  <sheetData>
    <row r="1">
      <c r="A1" t="inlineStr">
        <is>
          <t>Building ID</t>
        </is>
      </c>
      <c r="B1" t="inlineStr">
        <is>
          <t>Name</t>
        </is>
      </c>
      <c r="C1" t="inlineStr">
        <is>
          <t>Category</t>
        </is>
      </c>
      <c r="D1" t="inlineStr">
        <is>
          <t>Model File Path</t>
        </is>
      </c>
      <c r="E1" t="inlineStr">
        <is>
          <t>Collision File Path</t>
        </is>
      </c>
      <c r="F1" t="inlineStr">
        <is>
          <t>Preview File Path</t>
        </is>
      </c>
      <c r="G1" t="inlineStr">
        <is>
          <t>Health</t>
        </is>
      </c>
      <c r="H1" t="inlineStr">
        <is>
          <t>Build Time</t>
        </is>
      </c>
      <c r="I1" t="inlineStr">
        <is>
          <t>Footprint Type</t>
        </is>
      </c>
      <c r="J1" t="inlineStr">
        <is>
          <t>Footprint Width</t>
        </is>
      </c>
      <c r="K1" t="inlineStr">
        <is>
          <t>Footprint Depth</t>
        </is>
      </c>
      <c r="L1" t="inlineStr">
        <is>
          <t>Footprint Radius</t>
        </is>
      </c>
      <c r="M1" t="inlineStr">
        <is>
          <t>Max Slope</t>
        </is>
      </c>
      <c r="N1" t="inlineStr">
        <is>
          <t>Construction Stages</t>
        </is>
      </c>
      <c r="O1" t="inlineStr">
        <is>
          <t>Task Provider</t>
        </is>
      </c>
      <c r="P1" t="inlineStr">
        <is>
          <t>Animation Profile</t>
        </is>
      </c>
      <c r="Q1" t="inlineStr">
        <is>
          <t>Interaction Profile</t>
        </is>
      </c>
      <c r="R1" t="inlineStr">
        <is>
          <t>Default Space</t>
        </is>
      </c>
      <c r="S1" t="inlineStr">
        <is>
          <t>Enabled</t>
        </is>
      </c>
      <c r="T1" t="inlineStr">
        <is>
          <t>Inventory Profile ID</t>
        </is>
      </c>
      <c r="U1" t="inlineStr">
        <is>
          <t>Desired Width M</t>
        </is>
      </c>
      <c r="V1" t="inlineStr">
        <is>
          <t>Desired Height M</t>
        </is>
      </c>
      <c r="W1" t="inlineStr">
        <is>
          <t>Desired Depth M</t>
        </is>
      </c>
      <c r="X1" t="inlineStr">
        <is>
          <t>Size Reference Axis</t>
        </is>
      </c>
    </row>
    <row r="2">
      <c r="A2" t="inlineStr">
        <is>
          <t>hut</t>
        </is>
      </c>
      <c r="B2" t="inlineStr">
        <is>
          <t>Survival Hut</t>
        </is>
      </c>
      <c r="C2" t="inlineStr">
        <is>
          <t>residential</t>
        </is>
      </c>
      <c r="D2" t="inlineStr">
        <is>
          <t>assets/buildings/hut.glb</t>
        </is>
      </c>
      <c r="E2" t="inlineStr">
        <is>
          <t>assets/buildings/hut_collision.glb</t>
        </is>
      </c>
      <c r="G2" t="inlineStr">
        <is>
          <t>250</t>
        </is>
      </c>
      <c r="H2" t="inlineStr">
        <is>
          <t>45</t>
        </is>
      </c>
      <c r="I2" t="inlineStr">
        <is>
          <t>Rectangle</t>
        </is>
      </c>
      <c r="J2" t="inlineStr">
        <is>
          <t>4</t>
        </is>
      </c>
      <c r="K2" t="inlineStr">
        <is>
          <t>4</t>
        </is>
      </c>
      <c r="M2" t="inlineStr">
        <is>
          <t>35</t>
        </is>
      </c>
      <c r="S2" t="inlineStr">
        <is>
          <t>Y</t>
        </is>
      </c>
    </row>
    <row r="3">
      <c r="A3" t="inlineStr">
        <is>
          <t>smelter</t>
        </is>
      </c>
      <c r="B3" t="inlineStr">
        <is>
          <t>Smelter</t>
        </is>
      </c>
      <c r="C3" t="inlineStr">
        <is>
          <t>production</t>
        </is>
      </c>
      <c r="D3" t="inlineStr">
        <is>
          <t>assets/buildings/smelter.glb</t>
        </is>
      </c>
      <c r="E3" t="inlineStr">
        <is>
          <t>assets/buildings/smelter_collision.glb</t>
        </is>
      </c>
      <c r="G3" t="inlineStr">
        <is>
          <t>400</t>
        </is>
      </c>
      <c r="H3" t="inlineStr">
        <is>
          <t>90</t>
        </is>
      </c>
      <c r="I3" t="inlineStr">
        <is>
          <t>Circle</t>
        </is>
      </c>
      <c r="L3" t="inlineStr">
        <is>
          <t>2.5</t>
        </is>
      </c>
      <c r="M3" t="inlineStr">
        <is>
          <t>30</t>
        </is>
      </c>
      <c r="O3" t="inlineStr">
        <is>
          <t>smelter_basic</t>
        </is>
      </c>
      <c r="S3" t="inlineStr">
        <is>
          <t>Y</t>
        </is>
      </c>
    </row>
    <row r="4">
      <c r="A4" t="inlineStr">
        <is>
          <t>storage_chest</t>
        </is>
      </c>
      <c r="B4" t="inlineStr">
        <is>
          <t>Storage Chest</t>
        </is>
      </c>
      <c r="C4" t="inlineStr">
        <is>
          <t>storage</t>
        </is>
      </c>
      <c r="D4" t="inlineStr">
        <is>
          <t>assets/buildings/chest.glb</t>
        </is>
      </c>
      <c r="E4" t="inlineStr">
        <is>
          <t>assets/buildings/chest.glb</t>
        </is>
      </c>
      <c r="G4" t="n">
        <v>120</v>
      </c>
      <c r="H4" t="n">
        <v>15</v>
      </c>
      <c r="I4" t="inlineStr">
        <is>
          <t>Rectangle</t>
        </is>
      </c>
      <c r="J4" t="n">
        <v>1</v>
      </c>
      <c r="K4" t="n">
        <v>0.8</v>
      </c>
      <c r="M4" t="n">
        <v>35</v>
      </c>
      <c r="Q4" t="inlineStr">
        <is>
          <t>storage_chest</t>
        </is>
      </c>
      <c r="S4" t="inlineStr">
        <is>
          <t>Y</t>
        </is>
      </c>
      <c r="T4" t="inlineStr">
        <is>
          <t>chest_small</t>
        </is>
      </c>
    </row>
    <row r="5">
      <c r="A5" t="inlineStr">
        <is>
          <t>barn</t>
        </is>
      </c>
      <c r="B5" t="inlineStr">
        <is>
          <t>Barn</t>
        </is>
      </c>
      <c r="C5" t="inlineStr">
        <is>
          <t>storage</t>
        </is>
      </c>
      <c r="D5" t="inlineStr">
        <is>
          <t>assets/buildings/barn.glb</t>
        </is>
      </c>
      <c r="E5" t="inlineStr">
        <is>
          <t>assets/buildings/barn.glb</t>
        </is>
      </c>
      <c r="G5" t="n">
        <v>400</v>
      </c>
      <c r="H5" t="n">
        <v>90</v>
      </c>
      <c r="I5" t="inlineStr">
        <is>
          <t>Rectangle</t>
        </is>
      </c>
      <c r="J5" t="n">
        <v>8</v>
      </c>
      <c r="K5" t="n">
        <v>6</v>
      </c>
      <c r="M5" t="n">
        <v>35</v>
      </c>
      <c r="Q5" t="inlineStr">
        <is>
          <t>storage_chest</t>
        </is>
      </c>
      <c r="S5" t="inlineStr">
        <is>
          <t>Y</t>
        </is>
      </c>
      <c r="T5" t="inlineStr">
        <is>
          <t>chest_large</t>
        </is>
      </c>
    </row>
    <row r="6">
      <c r="A6" t="inlineStr">
        <is>
          <t>stone_quarry</t>
        </is>
      </c>
      <c r="B6" t="inlineStr">
        <is>
          <t>Stone Quarry</t>
        </is>
      </c>
      <c r="C6" t="inlineStr">
        <is>
          <t>production</t>
        </is>
      </c>
      <c r="D6" t="inlineStr">
        <is>
          <t>assets/buildings/stone_mine.glb</t>
        </is>
      </c>
      <c r="E6" t="inlineStr">
        <is>
          <t>assets/buildings/stone_mine.glb</t>
        </is>
      </c>
      <c r="G6" t="n">
        <v>450</v>
      </c>
      <c r="H6" t="n">
        <v>100</v>
      </c>
      <c r="I6" t="inlineStr">
        <is>
          <t>Rectangle</t>
        </is>
      </c>
      <c r="J6" t="n">
        <v>16</v>
      </c>
      <c r="K6" t="n">
        <v>12</v>
      </c>
      <c r="M6" t="n">
        <v>30</v>
      </c>
      <c r="S6" t="inlineStr">
        <is>
          <t>Y</t>
        </is>
      </c>
    </row>
    <row r="7">
      <c r="A7" t="inlineStr">
        <is>
          <t>prispod_farm</t>
        </is>
      </c>
      <c r="B7" t="inlineStr">
        <is>
          <t>Prispod Farm</t>
        </is>
      </c>
      <c r="C7" t="inlineStr">
        <is>
          <t>production</t>
        </is>
      </c>
      <c r="D7" t="inlineStr">
        <is>
          <t>assets/buildings/prispod_farm.glb</t>
        </is>
      </c>
      <c r="E7" t="inlineStr">
        <is>
          <t>assets/buildings/prispod_farm.glb</t>
        </is>
      </c>
      <c r="G7" t="n">
        <v>300</v>
      </c>
      <c r="H7" t="n">
        <v>80</v>
      </c>
      <c r="I7" t="inlineStr">
        <is>
          <t>Rectangle</t>
        </is>
      </c>
      <c r="J7" t="n">
        <v>13</v>
      </c>
      <c r="K7" t="n">
        <v>10</v>
      </c>
      <c r="M7" t="n">
        <v>35</v>
      </c>
      <c r="S7" t="inlineStr">
        <is>
          <t>Y</t>
        </is>
      </c>
      <c r="U7" t="n">
        <v>12.7</v>
      </c>
      <c r="V7" t="n">
        <v>2.1</v>
      </c>
      <c r="W7" t="n">
        <v>9.699999999999999</v>
      </c>
      <c r="X7" t="inlineStr">
        <is>
          <t>Width</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1"/>
  <sheetViews>
    <sheetView workbookViewId="0">
      <selection activeCell="L25" sqref="L25"/>
    </sheetView>
  </sheetViews>
  <sheetFormatPr baseColWidth="8" defaultRowHeight="15"/>
  <sheetData>
    <row r="1">
      <c r="A1" t="inlineStr">
        <is>
          <t>Category ID</t>
        </is>
      </c>
      <c r="B1" t="inlineStr">
        <is>
          <t>Name</t>
        </is>
      </c>
      <c r="C1" t="inlineStr">
        <is>
          <t>Enabled</t>
        </is>
      </c>
      <c r="D1" t="inlineStr">
        <is>
          <t>Description</t>
        </is>
      </c>
      <c r="E1" t="inlineStr">
        <is>
          <t>Sort Priority</t>
        </is>
      </c>
    </row>
    <row r="2">
      <c r="A2" t="inlineStr">
        <is>
          <t>currency</t>
        </is>
      </c>
      <c r="B2" t="inlineStr">
        <is>
          <t>Currency</t>
        </is>
      </c>
      <c r="C2" t="inlineStr">
        <is>
          <t>Y</t>
        </is>
      </c>
      <c r="D2" t="inlineStr">
        <is>
          <t>Trade currency and coinage</t>
        </is>
      </c>
      <c r="E2" t="n">
        <v>100</v>
      </c>
    </row>
    <row r="3">
      <c r="A3" t="inlineStr">
        <is>
          <t>raw_material</t>
        </is>
      </c>
      <c r="B3" t="inlineStr">
        <is>
          <t>Raw Material</t>
        </is>
      </c>
      <c r="C3" t="inlineStr">
        <is>
          <t>Y</t>
        </is>
      </c>
      <c r="D3" t="inlineStr">
        <is>
          <t>Unprocessed resources</t>
        </is>
      </c>
      <c r="E3" t="n">
        <v>10</v>
      </c>
    </row>
    <row r="4">
      <c r="A4" t="inlineStr">
        <is>
          <t>weapon</t>
        </is>
      </c>
      <c r="B4" t="inlineStr">
        <is>
          <t>Weapon</t>
        </is>
      </c>
      <c r="C4" t="inlineStr">
        <is>
          <t>Y</t>
        </is>
      </c>
      <c r="D4" t="inlineStr">
        <is>
          <t>Melee and ranged weapons</t>
        </is>
      </c>
      <c r="E4" t="n">
        <v>30</v>
      </c>
    </row>
    <row r="5">
      <c r="A5" t="inlineStr">
        <is>
          <t>ammo</t>
        </is>
      </c>
      <c r="B5" t="inlineStr">
        <is>
          <t>Ammunition</t>
        </is>
      </c>
      <c r="C5" t="inlineStr">
        <is>
          <t>Y</t>
        </is>
      </c>
      <c r="D5" t="inlineStr">
        <is>
          <t>Ammunition and bolts</t>
        </is>
      </c>
      <c r="E5" t="n">
        <v>35</v>
      </c>
    </row>
    <row r="6">
      <c r="A6" t="inlineStr">
        <is>
          <t>armor</t>
        </is>
      </c>
      <c r="B6" t="inlineStr">
        <is>
          <t>Armor</t>
        </is>
      </c>
      <c r="C6" t="inlineStr">
        <is>
          <t>Y</t>
        </is>
      </c>
      <c r="D6" t="inlineStr">
        <is>
          <t>Wearable protection</t>
        </is>
      </c>
      <c r="E6" t="n">
        <v>40</v>
      </c>
    </row>
    <row r="7">
      <c r="A7" t="inlineStr">
        <is>
          <t>consumable</t>
        </is>
      </c>
      <c r="B7" t="inlineStr">
        <is>
          <t>Consumable</t>
        </is>
      </c>
      <c r="C7" t="inlineStr">
        <is>
          <t>Y</t>
        </is>
      </c>
      <c r="D7" t="inlineStr">
        <is>
          <t>Consumable supplies</t>
        </is>
      </c>
      <c r="E7" t="n">
        <v>50</v>
      </c>
    </row>
    <row r="8">
      <c r="A8" t="inlineStr">
        <is>
          <t>food</t>
        </is>
      </c>
      <c r="B8" t="inlineStr">
        <is>
          <t>Food</t>
        </is>
      </c>
      <c r="C8" t="inlineStr">
        <is>
          <t>Y</t>
        </is>
      </c>
      <c r="D8" t="inlineStr">
        <is>
          <t>Edible goods</t>
        </is>
      </c>
      <c r="E8" t="n">
        <v>20</v>
      </c>
    </row>
    <row r="9">
      <c r="A9" t="inlineStr">
        <is>
          <t>quest</t>
        </is>
      </c>
      <c r="B9" t="inlineStr">
        <is>
          <t>Quest</t>
        </is>
      </c>
      <c r="C9" t="inlineStr">
        <is>
          <t>Y</t>
        </is>
      </c>
      <c r="D9" t="inlineStr">
        <is>
          <t>Quest and story items</t>
        </is>
      </c>
      <c r="E9" t="n">
        <v>90</v>
      </c>
    </row>
    <row r="10">
      <c r="A10" t="inlineStr">
        <is>
          <t>construction_material</t>
        </is>
      </c>
      <c r="B10" t="inlineStr">
        <is>
          <t>Construction Material</t>
        </is>
      </c>
      <c r="C10" t="inlineStr">
        <is>
          <t>Y</t>
        </is>
      </c>
      <c r="D10" t="inlineStr">
        <is>
          <t>Building and construction resources</t>
        </is>
      </c>
      <c r="E10" t="n">
        <v>15</v>
      </c>
    </row>
    <row r="11">
      <c r="A11" t="inlineStr">
        <is>
          <t>container</t>
        </is>
      </c>
      <c r="B11" t="inlineStr">
        <is>
          <t>Container</t>
        </is>
      </c>
      <c r="C11" t="inlineStr">
        <is>
          <t>Y</t>
        </is>
      </c>
      <c r="D11" t="inlineStr">
        <is>
          <t>Portable containers and packs</t>
        </is>
      </c>
      <c r="E11" t="n">
        <v>120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Species Key</t>
        </is>
      </c>
      <c r="B1" t="inlineStr">
        <is>
          <t>Name</t>
        </is>
      </c>
      <c r="C1" t="inlineStr">
        <is>
          <t>Enabled</t>
        </is>
      </c>
      <c r="D1" t="inlineStr">
        <is>
          <t>Description</t>
        </is>
      </c>
    </row>
    <row r="2">
      <c r="A2" t="inlineStr">
        <is>
          <t>robot</t>
        </is>
      </c>
      <c r="B2" t="inlineStr">
        <is>
          <t>Robot</t>
        </is>
      </c>
      <c r="C2" t="inlineStr">
        <is>
          <t>Y</t>
        </is>
      </c>
      <c r="D2" t="inlineStr">
        <is>
          <t>Player humanoid construct</t>
        </is>
      </c>
    </row>
    <row r="3">
      <c r="A3" t="inlineStr">
        <is>
          <t>fox</t>
        </is>
      </c>
      <c r="B3" t="inlineStr">
        <is>
          <t>Fox</t>
        </is>
      </c>
      <c r="C3" t="inlineStr">
        <is>
          <t>Y</t>
        </is>
      </c>
      <c r="D3" t="inlineStr">
        <is>
          <t>Small canid companion</t>
        </is>
      </c>
    </row>
    <row r="4">
      <c r="A4" t="inlineStr">
        <is>
          <t>cavecrawler</t>
        </is>
      </c>
      <c r="B4" t="inlineStr">
        <is>
          <t>Cavecrawler</t>
        </is>
      </c>
      <c r="C4" t="inlineStr">
        <is>
          <t>Y</t>
        </is>
      </c>
      <c r="D4" t="inlineStr">
        <is>
          <t>Subterranean predator</t>
        </is>
      </c>
    </row>
    <row r="5">
      <c r="A5" t="inlineStr">
        <is>
          <t>human</t>
        </is>
      </c>
      <c r="B5" t="inlineStr">
        <is>
          <t>Human</t>
        </is>
      </c>
      <c r="C5" t="inlineStr">
        <is>
          <t>Y</t>
        </is>
      </c>
    </row>
    <row r="6">
      <c r="A6" t="inlineStr">
        <is>
          <t>tyranopode</t>
        </is>
      </c>
      <c r="B6" t="inlineStr">
        <is>
          <t>Tyranopode</t>
        </is>
      </c>
      <c r="C6" t="inlineStr">
        <is>
          <t>Y</t>
        </is>
      </c>
    </row>
    <row r="7">
      <c r="A7" t="inlineStr">
        <is>
          <t>muscomorph</t>
        </is>
      </c>
      <c r="B7" t="inlineStr">
        <is>
          <t>Muscomorph</t>
        </is>
      </c>
      <c r="C7" t="inlineStr">
        <is>
          <t>Y</t>
        </is>
      </c>
    </row>
    <row r="8">
      <c r="A8" t="inlineStr">
        <is>
          <t>telluropod</t>
        </is>
      </c>
      <c r="B8" t="inlineStr">
        <is>
          <t>Telluropod</t>
        </is>
      </c>
      <c r="C8" t="inlineStr">
        <is>
          <t>Y</t>
        </is>
      </c>
    </row>
    <row r="9">
      <c r="A9" t="inlineStr">
        <is>
          <t>clypeosaurus</t>
        </is>
      </c>
      <c r="B9" t="inlineStr">
        <is>
          <t>Clypeosaurus</t>
        </is>
      </c>
      <c r="C9" t="inlineStr">
        <is>
          <t>Y</t>
        </is>
      </c>
    </row>
    <row r="10">
      <c r="A10" t="inlineStr">
        <is>
          <t>giant_slug</t>
        </is>
      </c>
      <c r="B10" t="inlineStr">
        <is>
          <t>Giant Slug</t>
        </is>
      </c>
      <c r="C10" t="inlineStr">
        <is>
          <t>Y</t>
        </is>
      </c>
    </row>
    <row r="11">
      <c r="A11" t="inlineStr">
        <is>
          <t>karcinomorph</t>
        </is>
      </c>
      <c r="B11" t="inlineStr">
        <is>
          <t>Karcinomorph</t>
        </is>
      </c>
      <c r="C11" t="inlineStr">
        <is>
          <t>Y</t>
        </is>
      </c>
    </row>
    <row r="12">
      <c r="A12" t="inlineStr">
        <is>
          <t>scyver</t>
        </is>
      </c>
      <c r="B12" t="inlineStr">
        <is>
          <t>Scyver</t>
        </is>
      </c>
      <c r="C12" t="inlineStr">
        <is>
          <t>Y</t>
        </is>
      </c>
    </row>
    <row r="13">
      <c r="A13" t="inlineStr">
        <is>
          <t>scolomorph</t>
        </is>
      </c>
      <c r="B13" t="inlineStr">
        <is>
          <t>Scolomorph</t>
        </is>
      </c>
      <c r="C13" t="inlineStr">
        <is>
          <t>Y</t>
        </is>
      </c>
    </row>
    <row r="14">
      <c r="A14" t="inlineStr">
        <is>
          <t>tetrachnide</t>
        </is>
      </c>
      <c r="B14" t="inlineStr">
        <is>
          <t>Tetrachnide</t>
        </is>
      </c>
      <c r="C14" t="inlineStr">
        <is>
          <t>Y</t>
        </is>
      </c>
    </row>
    <row r="15">
      <c r="A15" t="inlineStr">
        <is>
          <t>vespomorph</t>
        </is>
      </c>
      <c r="B15" t="inlineStr">
        <is>
          <t>Vespomorph</t>
        </is>
      </c>
      <c r="C15" t="inlineStr">
        <is>
          <t>Y</t>
        </is>
      </c>
    </row>
    <row r="16">
      <c r="A16" t="inlineStr">
        <is>
          <t>morphorrid</t>
        </is>
      </c>
      <c r="B16" t="inlineStr">
        <is>
          <t>Morphorrid</t>
        </is>
      </c>
      <c r="C16" t="inlineStr">
        <is>
          <t>Y</t>
        </is>
      </c>
    </row>
    <row r="17">
      <c r="A17" t="inlineStr">
        <is>
          <t>carcidonte</t>
        </is>
      </c>
      <c r="B17" t="inlineStr">
        <is>
          <t>Carcidonte</t>
        </is>
      </c>
      <c r="C17" t="inlineStr">
        <is>
          <t>Y</t>
        </is>
      </c>
    </row>
    <row r="18">
      <c r="A18" t="inlineStr">
        <is>
          <t>entomorane</t>
        </is>
      </c>
      <c r="B18" t="inlineStr">
        <is>
          <t>Entomorane</t>
        </is>
      </c>
      <c r="C18" t="inlineStr">
        <is>
          <t>Y</t>
        </is>
      </c>
    </row>
    <row r="19">
      <c r="A19" t="inlineStr">
        <is>
          <t>laminferox</t>
        </is>
      </c>
      <c r="B19" t="inlineStr">
        <is>
          <t>Laminferox</t>
        </is>
      </c>
      <c r="C19" t="inlineStr">
        <is>
          <t>Y</t>
        </is>
      </c>
    </row>
    <row r="20">
      <c r="A20" t="inlineStr">
        <is>
          <t>bufomorph</t>
        </is>
      </c>
      <c r="B20" t="inlineStr">
        <is>
          <t>Bufomorph</t>
        </is>
      </c>
      <c r="C20" t="inlineStr">
        <is>
          <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Faction -&gt; Faction</t>
        </is>
      </c>
      <c r="B1" t="inlineStr">
        <is>
          <t>player</t>
        </is>
      </c>
      <c r="C1" t="inlineStr">
        <is>
          <t>wild</t>
        </is>
      </c>
      <c r="D1" t="inlineStr">
        <is>
          <t>bandits</t>
        </is>
      </c>
      <c r="E1" t="inlineStr">
        <is>
          <t>raiders</t>
        </is>
      </c>
      <c r="F1" t="inlineStr">
        <is>
          <t>nomads</t>
        </is>
      </c>
      <c r="G1" t="inlineStr">
        <is>
          <t>town</t>
        </is>
      </c>
      <c r="H1" t="inlineStr">
        <is>
          <t>slavers</t>
        </is>
      </c>
      <c r="I1" t="inlineStr">
        <is>
          <t>tech_hunters</t>
        </is>
      </c>
      <c r="J1" t="inlineStr">
        <is>
          <t>scavs</t>
        </is>
      </c>
      <c r="K1" t="inlineStr">
        <is>
          <t>dominion</t>
        </is>
      </c>
    </row>
    <row r="2">
      <c r="A2" t="inlineStr">
        <is>
          <t>player</t>
        </is>
      </c>
    </row>
    <row r="3">
      <c r="A3" t="inlineStr">
        <is>
          <t>wild</t>
        </is>
      </c>
      <c r="B3" t="n">
        <v>-300</v>
      </c>
    </row>
    <row r="4">
      <c r="A4" t="inlineStr">
        <is>
          <t>bandits</t>
        </is>
      </c>
    </row>
    <row r="5">
      <c r="A5" t="inlineStr">
        <is>
          <t>raiders</t>
        </is>
      </c>
    </row>
    <row r="6">
      <c r="A6" t="inlineStr">
        <is>
          <t>nomads</t>
        </is>
      </c>
    </row>
    <row r="7">
      <c r="A7" t="inlineStr">
        <is>
          <t>town</t>
        </is>
      </c>
    </row>
    <row r="8">
      <c r="A8" t="inlineStr">
        <is>
          <t>slavers</t>
        </is>
      </c>
    </row>
    <row r="9">
      <c r="A9" t="inlineStr">
        <is>
          <t>tech_hunters</t>
        </is>
      </c>
    </row>
    <row r="10">
      <c r="A10" t="inlineStr">
        <is>
          <t>scavs</t>
        </is>
      </c>
    </row>
    <row r="11">
      <c r="A11" t="inlineStr">
        <is>
          <t>dominion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Faction -&gt; Species</t>
        </is>
      </c>
      <c r="B1" t="inlineStr">
        <is>
          <t>robot</t>
        </is>
      </c>
      <c r="C1" t="inlineStr">
        <is>
          <t>fox</t>
        </is>
      </c>
      <c r="D1" t="inlineStr">
        <is>
          <t>cavecrawler</t>
        </is>
      </c>
    </row>
    <row r="2">
      <c r="A2" t="inlineStr">
        <is>
          <t>player</t>
        </is>
      </c>
    </row>
    <row r="3">
      <c r="A3" t="inlineStr">
        <is>
          <t>wild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Profile ID</t>
        </is>
      </c>
      <c r="B1" t="inlineStr">
        <is>
          <t>Name</t>
        </is>
      </c>
      <c r="C1" t="inlineStr">
        <is>
          <t>Description</t>
        </is>
      </c>
      <c r="D1" t="inlineStr">
        <is>
          <t>Provisional Protection Rating</t>
        </is>
      </c>
      <c r="E1" t="inlineStr">
        <is>
          <t>Enabled</t>
        </is>
      </c>
      <c r="F1" t="inlineStr">
        <is>
          <t>Armor Rating</t>
        </is>
      </c>
    </row>
    <row r="2">
      <c r="A2" t="inlineStr">
        <is>
          <t>armor_peasant_body</t>
        </is>
      </c>
      <c r="B2" t="inlineStr">
        <is>
          <t>Peasant Body Armor</t>
        </is>
      </c>
      <c r="C2" t="inlineStr">
        <is>
          <t>Light peasant torso protection.</t>
        </is>
      </c>
      <c r="E2" t="inlineStr">
        <is>
          <t>Y</t>
        </is>
      </c>
      <c r="F2" t="n">
        <v>5</v>
      </c>
    </row>
    <row r="3">
      <c r="A3" t="inlineStr">
        <is>
          <t>armor_peasant_arms</t>
        </is>
      </c>
      <c r="B3" t="inlineStr">
        <is>
          <t>Peasant Arm Armor</t>
        </is>
      </c>
      <c r="C3" t="inlineStr">
        <is>
          <t>Light peasant arm protection.</t>
        </is>
      </c>
      <c r="E3" t="inlineStr">
        <is>
          <t>Y</t>
        </is>
      </c>
      <c r="F3" t="n">
        <v>3</v>
      </c>
    </row>
    <row r="4">
      <c r="A4" t="inlineStr">
        <is>
          <t>armor_peasant_legs</t>
        </is>
      </c>
      <c r="B4" t="inlineStr">
        <is>
          <t>Peasant Leg Armor</t>
        </is>
      </c>
      <c r="C4" t="inlineStr">
        <is>
          <t>Light peasant leg protection.</t>
        </is>
      </c>
      <c r="E4" t="inlineStr">
        <is>
          <t>Y</t>
        </is>
      </c>
      <c r="F4" t="n">
        <v>4</v>
      </c>
    </row>
    <row r="5">
      <c r="A5" t="inlineStr">
        <is>
          <t>armor_peasant_feet</t>
        </is>
      </c>
      <c r="B5" t="inlineStr">
        <is>
          <t>Peasant Foot Armor</t>
        </is>
      </c>
      <c r="C5" t="inlineStr">
        <is>
          <t>Light peasant foot protection.</t>
        </is>
      </c>
      <c r="E5" t="inlineStr">
        <is>
          <t>Y</t>
        </is>
      </c>
      <c r="F5" t="n">
        <v>3</v>
      </c>
    </row>
    <row r="6">
      <c r="A6" t="inlineStr">
        <is>
          <t>armor_ranger_hood</t>
        </is>
      </c>
      <c r="B6" t="inlineStr">
        <is>
          <t>Ranger Hood Armor</t>
        </is>
      </c>
      <c r="C6" t="inlineStr">
        <is>
          <t>Ranger head protection.</t>
        </is>
      </c>
      <c r="E6" t="inlineStr">
        <is>
          <t>Y</t>
        </is>
      </c>
      <c r="F6" t="n">
        <v>5</v>
      </c>
    </row>
    <row r="7">
      <c r="A7" t="inlineStr">
        <is>
          <t>armor_ranger_body</t>
        </is>
      </c>
      <c r="B7" t="inlineStr">
        <is>
          <t>Ranger Body Armor</t>
        </is>
      </c>
      <c r="C7" t="inlineStr">
        <is>
          <t>Ranger torso protection.</t>
        </is>
      </c>
      <c r="E7" t="inlineStr">
        <is>
          <t>Y</t>
        </is>
      </c>
      <c r="F7" t="n">
        <v>15</v>
      </c>
    </row>
    <row r="8">
      <c r="A8" t="inlineStr">
        <is>
          <t>armor_ranger_arms</t>
        </is>
      </c>
      <c r="B8" t="inlineStr">
        <is>
          <t>Ranger Arm Armor</t>
        </is>
      </c>
      <c r="C8" t="inlineStr">
        <is>
          <t>Ranger arm protection.</t>
        </is>
      </c>
      <c r="E8" t="inlineStr">
        <is>
          <t>Y</t>
        </is>
      </c>
      <c r="F8" t="n">
        <v>5</v>
      </c>
    </row>
    <row r="9">
      <c r="A9" t="inlineStr">
        <is>
          <t>armor_ranger_legs</t>
        </is>
      </c>
      <c r="B9" t="inlineStr">
        <is>
          <t>Ranger Leg Armor</t>
        </is>
      </c>
      <c r="C9" t="inlineStr">
        <is>
          <t>Ranger leg protection.</t>
        </is>
      </c>
      <c r="E9" t="inlineStr">
        <is>
          <t>Y</t>
        </is>
      </c>
      <c r="F9" t="n">
        <v>10</v>
      </c>
    </row>
    <row r="10">
      <c r="A10" t="inlineStr">
        <is>
          <t>armor_ranger_feet</t>
        </is>
      </c>
      <c r="B10" t="inlineStr">
        <is>
          <t>Ranger Foot Armor</t>
        </is>
      </c>
      <c r="C10" t="inlineStr">
        <is>
          <t>Ranger foot protection.</t>
        </is>
      </c>
      <c r="E10" t="inlineStr">
        <is>
          <t>Y</t>
        </is>
      </c>
      <c r="F10" t="n">
        <v>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t="inlineStr">
        <is>
          <t>Item ID</t>
        </is>
      </c>
      <c r="B1" t="inlineStr">
        <is>
          <t>Unit Render Key</t>
        </is>
      </c>
      <c r="C1" t="inlineStr">
        <is>
          <t>Equipped Render Key</t>
        </is>
      </c>
      <c r="D1" t="inlineStr">
        <is>
          <t>Presentation Mode</t>
        </is>
      </c>
      <c r="E1" t="inlineStr">
        <is>
          <t>Socket</t>
        </is>
      </c>
      <c r="F1" t="inlineStr">
        <is>
          <t>Local Translation</t>
        </is>
      </c>
      <c r="G1" t="inlineStr">
        <is>
          <t>Local Rotation</t>
        </is>
      </c>
      <c r="H1" t="inlineStr">
        <is>
          <t>Local Scale</t>
        </is>
      </c>
      <c r="I1" t="inlineStr">
        <is>
          <t>Stowed Socket</t>
        </is>
      </c>
      <c r="J1" t="inlineStr">
        <is>
          <t>Stowed Local Translation</t>
        </is>
      </c>
      <c r="K1" t="inlineStr">
        <is>
          <t>Stowed Local Rotation</t>
        </is>
      </c>
      <c r="L1" t="inlineStr">
        <is>
          <t>Stowed Local Scale</t>
        </is>
      </c>
      <c r="M1" t="inlineStr">
        <is>
          <t>Consumed Morph Params</t>
        </is>
      </c>
      <c r="N1" t="inlineStr">
        <is>
          <t>Fit Scale</t>
        </is>
      </c>
      <c r="O1" t="inlineStr">
        <is>
          <t>Fit Offset</t>
        </is>
      </c>
    </row>
    <row r="2">
      <c r="A2" t="inlineStr">
        <is>
          <t>iron_dagger</t>
        </is>
      </c>
      <c r="B2" t="inlineStr">
        <is>
          <t>human_male</t>
        </is>
      </c>
      <c r="C2" t="inlineStr">
        <is>
          <t>iron_dagger</t>
        </is>
      </c>
      <c r="D2" t="inlineStr">
        <is>
          <t>RigidAttachment</t>
        </is>
      </c>
      <c r="E2" t="inlineStr">
        <is>
          <t>RightHand</t>
        </is>
      </c>
      <c r="F2" t="inlineStr">
        <is>
          <t>0,0.100,0.01</t>
        </is>
      </c>
      <c r="G2" t="inlineStr">
        <is>
          <t>0,-0.5,-0.5,0.5</t>
        </is>
      </c>
    </row>
    <row r="3">
      <c r="A3" t="inlineStr">
        <is>
          <t>iron_dagger</t>
        </is>
      </c>
      <c r="B3" t="inlineStr">
        <is>
          <t>human_female</t>
        </is>
      </c>
      <c r="C3" t="inlineStr">
        <is>
          <t>iron_dagger</t>
        </is>
      </c>
      <c r="D3" t="inlineStr">
        <is>
          <t>RigidAttachment</t>
        </is>
      </c>
      <c r="E3" t="inlineStr">
        <is>
          <t>RightHand</t>
        </is>
      </c>
      <c r="F3" t="inlineStr">
        <is>
          <t>0,0.100,0.01</t>
        </is>
      </c>
      <c r="G3" t="inlineStr">
        <is>
          <t>0,-0.5,-0.5,0.5</t>
        </is>
      </c>
    </row>
    <row r="4">
      <c r="A4" t="inlineStr">
        <is>
          <t>iron_hand_axe</t>
        </is>
      </c>
      <c r="B4" t="inlineStr">
        <is>
          <t>human_male</t>
        </is>
      </c>
      <c r="C4" t="inlineStr">
        <is>
          <t>iron_hand_axe</t>
        </is>
      </c>
      <c r="D4" t="inlineStr">
        <is>
          <t>RigidAttachment</t>
        </is>
      </c>
      <c r="E4" t="inlineStr">
        <is>
          <t>RightHand</t>
        </is>
      </c>
      <c r="F4" t="inlineStr">
        <is>
          <t>0,0.271,0.02</t>
        </is>
      </c>
      <c r="G4" t="inlineStr">
        <is>
          <t>0,-0.5,-0.5,0.5</t>
        </is>
      </c>
    </row>
    <row r="5">
      <c r="A5" t="inlineStr">
        <is>
          <t>iron_hand_axe</t>
        </is>
      </c>
      <c r="B5" t="inlineStr">
        <is>
          <t>human_female</t>
        </is>
      </c>
      <c r="C5" t="inlineStr">
        <is>
          <t>iron_hand_axe</t>
        </is>
      </c>
      <c r="D5" t="inlineStr">
        <is>
          <t>RigidAttachment</t>
        </is>
      </c>
      <c r="E5" t="inlineStr">
        <is>
          <t>RightHand</t>
        </is>
      </c>
      <c r="F5" t="inlineStr">
        <is>
          <t>0,0.271,0.02</t>
        </is>
      </c>
      <c r="G5" t="inlineStr">
        <is>
          <t>0,-0.5,-0.5,0.5</t>
        </is>
      </c>
    </row>
    <row r="6">
      <c r="A6" t="inlineStr">
        <is>
          <t>iron_sword</t>
        </is>
      </c>
      <c r="B6" t="inlineStr">
        <is>
          <t>human_male</t>
        </is>
      </c>
      <c r="C6" t="inlineStr">
        <is>
          <t>iron_sword</t>
        </is>
      </c>
      <c r="D6" t="inlineStr">
        <is>
          <t>RigidAttachment</t>
        </is>
      </c>
      <c r="E6" t="inlineStr">
        <is>
          <t>RightHand</t>
        </is>
      </c>
      <c r="F6" t="inlineStr">
        <is>
          <t>0,0.183,0.02</t>
        </is>
      </c>
      <c r="G6" t="inlineStr">
        <is>
          <t>0,-0.5,-0.5,0.5</t>
        </is>
      </c>
      <c r="I6" t="inlineStr">
        <is>
          <t>RightHip</t>
        </is>
      </c>
      <c r="J6" t="inlineStr">
        <is>
          <t>0.12,0.02,-0.08</t>
        </is>
      </c>
      <c r="K6" t="inlineStr">
        <is>
          <t>0.0,0.707,0.0,0.707</t>
        </is>
      </c>
    </row>
    <row r="7">
      <c r="A7" t="inlineStr">
        <is>
          <t>iron_sword</t>
        </is>
      </c>
      <c r="B7" t="inlineStr">
        <is>
          <t>human_female</t>
        </is>
      </c>
      <c r="C7" t="inlineStr">
        <is>
          <t>iron_sword</t>
        </is>
      </c>
      <c r="D7" t="inlineStr">
        <is>
          <t>RigidAttachment</t>
        </is>
      </c>
      <c r="E7" t="inlineStr">
        <is>
          <t>RightHand</t>
        </is>
      </c>
      <c r="F7" t="inlineStr">
        <is>
          <t>0,0.183,0.02</t>
        </is>
      </c>
      <c r="G7" t="inlineStr">
        <is>
          <t>0,-0.5,-0.5,0.5</t>
        </is>
      </c>
      <c r="I7" t="inlineStr">
        <is>
          <t>RightHip</t>
        </is>
      </c>
      <c r="J7" t="inlineStr">
        <is>
          <t>0.12,0.02,-0.08</t>
        </is>
      </c>
      <c r="K7" t="inlineStr">
        <is>
          <t>0.0,0.707,0.0,0.707</t>
        </is>
      </c>
    </row>
    <row r="8">
      <c r="A8" t="inlineStr">
        <is>
          <t>iron_greatsword</t>
        </is>
      </c>
      <c r="B8" t="inlineStr">
        <is>
          <t>human_male</t>
        </is>
      </c>
      <c r="C8" t="inlineStr">
        <is>
          <t>iron_greatsword</t>
        </is>
      </c>
      <c r="D8" t="inlineStr">
        <is>
          <t>RigidAttachment</t>
        </is>
      </c>
      <c r="E8" t="inlineStr">
        <is>
          <t>RightHand</t>
        </is>
      </c>
      <c r="F8" t="inlineStr">
        <is>
          <t>0,0.083,0.03</t>
        </is>
      </c>
      <c r="G8" t="inlineStr">
        <is>
          <t>0,-0.5,-0.5,0.5</t>
        </is>
      </c>
    </row>
    <row r="9">
      <c r="A9" t="inlineStr">
        <is>
          <t>iron_greatsword</t>
        </is>
      </c>
      <c r="B9" t="inlineStr">
        <is>
          <t>human_female</t>
        </is>
      </c>
      <c r="C9" t="inlineStr">
        <is>
          <t>iron_greatsword</t>
        </is>
      </c>
      <c r="D9" t="inlineStr">
        <is>
          <t>RigidAttachment</t>
        </is>
      </c>
      <c r="E9" t="inlineStr">
        <is>
          <t>RightHand</t>
        </is>
      </c>
      <c r="F9" t="inlineStr">
        <is>
          <t>0,0.083,0.03</t>
        </is>
      </c>
      <c r="G9" t="inlineStr">
        <is>
          <t>0,-0.5,-0.5,0.5</t>
        </is>
      </c>
    </row>
    <row r="10">
      <c r="A10" t="inlineStr">
        <is>
          <t>iron_greataxe</t>
        </is>
      </c>
      <c r="B10" t="inlineStr">
        <is>
          <t>human_male</t>
        </is>
      </c>
      <c r="C10" t="inlineStr">
        <is>
          <t>iron_greataxe</t>
        </is>
      </c>
      <c r="D10" t="inlineStr">
        <is>
          <t>RigidAttachment</t>
        </is>
      </c>
      <c r="E10" t="inlineStr">
        <is>
          <t>RightHand</t>
        </is>
      </c>
      <c r="F10" t="inlineStr">
        <is>
          <t>0,0.370,0.03</t>
        </is>
      </c>
      <c r="G10" t="inlineStr">
        <is>
          <t>0,-0.5,-0.5,0.5</t>
        </is>
      </c>
    </row>
    <row r="11">
      <c r="A11" t="inlineStr">
        <is>
          <t>iron_greataxe</t>
        </is>
      </c>
      <c r="B11" t="inlineStr">
        <is>
          <t>human_female</t>
        </is>
      </c>
      <c r="C11" t="inlineStr">
        <is>
          <t>iron_greataxe</t>
        </is>
      </c>
      <c r="D11" t="inlineStr">
        <is>
          <t>RigidAttachment</t>
        </is>
      </c>
      <c r="E11" t="inlineStr">
        <is>
          <t>RightHand</t>
        </is>
      </c>
      <c r="F11" t="inlineStr">
        <is>
          <t>0,0.370,0.03</t>
        </is>
      </c>
      <c r="G11" t="inlineStr">
        <is>
          <t>0,-0.5,-0.5,0.5</t>
        </is>
      </c>
    </row>
    <row r="12">
      <c r="A12" t="inlineStr">
        <is>
          <t>iron_warhammer</t>
        </is>
      </c>
      <c r="B12" t="inlineStr">
        <is>
          <t>human_male</t>
        </is>
      </c>
      <c r="C12" t="inlineStr">
        <is>
          <t>iron_warhammer</t>
        </is>
      </c>
      <c r="D12" t="inlineStr">
        <is>
          <t>RigidAttachment</t>
        </is>
      </c>
      <c r="E12" t="inlineStr">
        <is>
          <t>RightHand</t>
        </is>
      </c>
      <c r="F12" t="inlineStr">
        <is>
          <t>0,0.409,0.02</t>
        </is>
      </c>
      <c r="G12" t="inlineStr">
        <is>
          <t>0,-0.5,-0.5,0.5</t>
        </is>
      </c>
    </row>
    <row r="13">
      <c r="A13" t="inlineStr">
        <is>
          <t>iron_warhammer</t>
        </is>
      </c>
      <c r="B13" t="inlineStr">
        <is>
          <t>human_female</t>
        </is>
      </c>
      <c r="C13" t="inlineStr">
        <is>
          <t>iron_warhammer</t>
        </is>
      </c>
      <c r="D13" t="inlineStr">
        <is>
          <t>RigidAttachment</t>
        </is>
      </c>
      <c r="E13" t="inlineStr">
        <is>
          <t>RightHand</t>
        </is>
      </c>
      <c r="F13" t="inlineStr">
        <is>
          <t>0,0.409,0.02</t>
        </is>
      </c>
      <c r="G13" t="inlineStr">
        <is>
          <t>0,-0.5,-0.5,0.5</t>
        </is>
      </c>
    </row>
    <row r="14">
      <c r="A14" t="inlineStr">
        <is>
          <t>wooden_bow</t>
        </is>
      </c>
      <c r="B14" t="inlineStr">
        <is>
          <t>human_male</t>
        </is>
      </c>
      <c r="C14" t="inlineStr">
        <is>
          <t>wooden_bow</t>
        </is>
      </c>
      <c r="D14" t="inlineStr">
        <is>
          <t>RigidAttachment</t>
        </is>
      </c>
      <c r="E14" t="inlineStr">
        <is>
          <t>RightHand</t>
        </is>
      </c>
      <c r="F14" t="inlineStr">
        <is>
          <t>0,0.675,0.02</t>
        </is>
      </c>
      <c r="G14" t="inlineStr">
        <is>
          <t>0.5,0.5,0.5,0.5</t>
        </is>
      </c>
    </row>
    <row r="15">
      <c r="A15" t="inlineStr">
        <is>
          <t>wooden_bow</t>
        </is>
      </c>
      <c r="B15" t="inlineStr">
        <is>
          <t>human_female</t>
        </is>
      </c>
      <c r="C15" t="inlineStr">
        <is>
          <t>wooden_bow</t>
        </is>
      </c>
      <c r="D15" t="inlineStr">
        <is>
          <t>RigidAttachment</t>
        </is>
      </c>
      <c r="E15" t="inlineStr">
        <is>
          <t>RightHand</t>
        </is>
      </c>
      <c r="F15" t="inlineStr">
        <is>
          <t>0,0.675,0.02</t>
        </is>
      </c>
      <c r="G15" t="inlineStr">
        <is>
          <t>0.5,0.5,0.5,0.5</t>
        </is>
      </c>
    </row>
    <row r="16">
      <c r="A16" t="inlineStr">
        <is>
          <t>leather_backpack</t>
        </is>
      </c>
      <c r="B16" t="inlineStr">
        <is>
          <t>human_male</t>
        </is>
      </c>
      <c r="C16" t="inlineStr">
        <is>
          <t>leather_backpack</t>
        </is>
      </c>
      <c r="D16" t="inlineStr">
        <is>
          <t>RigidAttachment</t>
        </is>
      </c>
      <c r="E16" t="inlineStr">
        <is>
          <t>Back</t>
        </is>
      </c>
      <c r="F16" t="inlineStr">
        <is>
          <t>0,0.10,-0.16</t>
        </is>
      </c>
      <c r="G16" t="inlineStr">
        <is>
          <t>0,1,0,0</t>
        </is>
      </c>
    </row>
    <row r="17">
      <c r="A17" t="inlineStr">
        <is>
          <t>leather_backpack</t>
        </is>
      </c>
      <c r="B17" t="inlineStr">
        <is>
          <t>human_female</t>
        </is>
      </c>
      <c r="C17" t="inlineStr">
        <is>
          <t>leather_backpack</t>
        </is>
      </c>
      <c r="D17" t="inlineStr">
        <is>
          <t>RigidAttachment</t>
        </is>
      </c>
      <c r="E17" t="inlineStr">
        <is>
          <t>Back</t>
        </is>
      </c>
      <c r="F17" t="inlineStr">
        <is>
          <t>0,0.10,-0.16</t>
        </is>
      </c>
      <c r="G17" t="inlineStr">
        <is>
          <t>0,1,0,0</t>
        </is>
      </c>
    </row>
    <row r="18">
      <c r="A18" t="inlineStr">
        <is>
          <t>peasant_body</t>
        </is>
      </c>
      <c r="B18" t="inlineStr">
        <is>
          <t>human_male</t>
        </is>
      </c>
      <c r="C18" t="inlineStr">
        <is>
          <t>equipment/human_male/peasant_body</t>
        </is>
      </c>
      <c r="D18" t="inlineStr">
        <is>
          <t>SkinnedOverlay</t>
        </is>
      </c>
      <c r="M18" t="inlineStr">
        <is>
          <t>build,fat,muscle,shoulders,torso,hips</t>
        </is>
      </c>
      <c r="N18" t="inlineStr">
        <is>
          <t>1.04</t>
        </is>
      </c>
    </row>
    <row r="19">
      <c r="A19" t="inlineStr">
        <is>
          <t>peasant_body</t>
        </is>
      </c>
      <c r="B19" t="inlineStr">
        <is>
          <t>human_female</t>
        </is>
      </c>
      <c r="C19" t="inlineStr">
        <is>
          <t>equipment/human_female/peasant_body</t>
        </is>
      </c>
      <c r="D19" t="inlineStr">
        <is>
          <t>SkinnedOverlay</t>
        </is>
      </c>
      <c r="M19" t="inlineStr">
        <is>
          <t>build,fat,muscle,shoulders,torso,hips</t>
        </is>
      </c>
      <c r="N19" t="inlineStr">
        <is>
          <t>1.04</t>
        </is>
      </c>
    </row>
    <row r="20">
      <c r="A20" t="inlineStr">
        <is>
          <t>peasant_arms</t>
        </is>
      </c>
      <c r="B20" t="inlineStr">
        <is>
          <t>human_male</t>
        </is>
      </c>
      <c r="C20" t="inlineStr">
        <is>
          <t>equipment/human_male/peasant_arms</t>
        </is>
      </c>
      <c r="D20" t="inlineStr">
        <is>
          <t>SkinnedOverlay</t>
        </is>
      </c>
      <c r="M20" t="inlineStr">
        <is>
          <t>build,fat,muscle,arms</t>
        </is>
      </c>
      <c r="N20" t="inlineStr">
        <is>
          <t>1.035</t>
        </is>
      </c>
    </row>
    <row r="21">
      <c r="A21" t="inlineStr">
        <is>
          <t>peasant_arms</t>
        </is>
      </c>
      <c r="B21" t="inlineStr">
        <is>
          <t>human_female</t>
        </is>
      </c>
      <c r="C21" t="inlineStr">
        <is>
          <t>equipment/human_female/peasant_arms</t>
        </is>
      </c>
      <c r="D21" t="inlineStr">
        <is>
          <t>SkinnedOverlay</t>
        </is>
      </c>
      <c r="M21" t="inlineStr">
        <is>
          <t>build,fat,muscle,arms</t>
        </is>
      </c>
      <c r="N21" t="inlineStr">
        <is>
          <t>1.035</t>
        </is>
      </c>
    </row>
    <row r="22">
      <c r="A22" t="inlineStr">
        <is>
          <t>peasant_legs</t>
        </is>
      </c>
      <c r="B22" t="inlineStr">
        <is>
          <t>human_male</t>
        </is>
      </c>
      <c r="C22" t="inlineStr">
        <is>
          <t>equipment/human_male/peasant_legs</t>
        </is>
      </c>
      <c r="D22" t="inlineStr">
        <is>
          <t>SkinnedOverlay</t>
        </is>
      </c>
      <c r="M22" t="inlineStr">
        <is>
          <t>build,fat,muscle,legs,hips</t>
        </is>
      </c>
      <c r="N22" t="inlineStr">
        <is>
          <t>1.04</t>
        </is>
      </c>
    </row>
    <row r="23">
      <c r="A23" t="inlineStr">
        <is>
          <t>peasant_legs</t>
        </is>
      </c>
      <c r="B23" t="inlineStr">
        <is>
          <t>human_female</t>
        </is>
      </c>
      <c r="C23" t="inlineStr">
        <is>
          <t>equipment/human_female/peasant_legs</t>
        </is>
      </c>
      <c r="D23" t="inlineStr">
        <is>
          <t>SkinnedOverlay</t>
        </is>
      </c>
      <c r="M23" t="inlineStr">
        <is>
          <t>build,fat,muscle,legs,hips</t>
        </is>
      </c>
      <c r="N23" t="inlineStr">
        <is>
          <t>1.04</t>
        </is>
      </c>
    </row>
    <row r="24">
      <c r="A24" t="inlineStr">
        <is>
          <t>peasant_feet</t>
        </is>
      </c>
      <c r="B24" t="inlineStr">
        <is>
          <t>human_male</t>
        </is>
      </c>
      <c r="C24" t="inlineStr">
        <is>
          <t>equipment/human_male/peasant_feet</t>
        </is>
      </c>
      <c r="D24" t="inlineStr">
        <is>
          <t>SkinnedOverlay</t>
        </is>
      </c>
    </row>
    <row r="25">
      <c r="A25" t="inlineStr">
        <is>
          <t>peasant_feet</t>
        </is>
      </c>
      <c r="B25" t="inlineStr">
        <is>
          <t>human_female</t>
        </is>
      </c>
      <c r="C25" t="inlineStr">
        <is>
          <t>equipment/human_female/peasant_feet</t>
        </is>
      </c>
      <c r="D25" t="inlineStr">
        <is>
          <t>SkinnedOverlay</t>
        </is>
      </c>
    </row>
    <row r="26">
      <c r="A26" t="inlineStr">
        <is>
          <t>ranger_hood</t>
        </is>
      </c>
      <c r="B26" t="inlineStr">
        <is>
          <t>human_male</t>
        </is>
      </c>
      <c r="C26" t="inlineStr">
        <is>
          <t>equipment/human_male/ranger_hood</t>
        </is>
      </c>
      <c r="D26" t="inlineStr">
        <is>
          <t>SkinnedOverlay</t>
        </is>
      </c>
      <c r="M26" t="inlineStr">
        <is>
          <t>head_size</t>
        </is>
      </c>
      <c r="N26" t="inlineStr">
        <is>
          <t>1.03</t>
        </is>
      </c>
      <c r="O26" t="inlineStr">
        <is>
          <t>0,0.004,0</t>
        </is>
      </c>
    </row>
    <row r="27">
      <c r="A27" t="inlineStr">
        <is>
          <t>ranger_hood</t>
        </is>
      </c>
      <c r="B27" t="inlineStr">
        <is>
          <t>human_female</t>
        </is>
      </c>
      <c r="C27" t="inlineStr">
        <is>
          <t>equipment/human_female/ranger_hood</t>
        </is>
      </c>
      <c r="D27" t="inlineStr">
        <is>
          <t>SkinnedOverlay</t>
        </is>
      </c>
      <c r="M27" t="inlineStr">
        <is>
          <t>head_size</t>
        </is>
      </c>
      <c r="N27" t="inlineStr">
        <is>
          <t>1.03</t>
        </is>
      </c>
      <c r="O27" t="inlineStr">
        <is>
          <t>0,0.004,0</t>
        </is>
      </c>
    </row>
    <row r="28">
      <c r="A28" t="inlineStr">
        <is>
          <t>ranger_body</t>
        </is>
      </c>
      <c r="B28" t="inlineStr">
        <is>
          <t>human_male</t>
        </is>
      </c>
      <c r="C28" t="inlineStr">
        <is>
          <t>equipment/human_male/ranger_body</t>
        </is>
      </c>
      <c r="D28" t="inlineStr">
        <is>
          <t>SkinnedOverlay</t>
        </is>
      </c>
      <c r="M28" t="inlineStr">
        <is>
          <t>build,fat,muscle,shoulders,torso,hips</t>
        </is>
      </c>
      <c r="N28" t="inlineStr">
        <is>
          <t>1.04</t>
        </is>
      </c>
    </row>
    <row r="29">
      <c r="A29" t="inlineStr">
        <is>
          <t>ranger_body</t>
        </is>
      </c>
      <c r="B29" t="inlineStr">
        <is>
          <t>human_female</t>
        </is>
      </c>
      <c r="C29" t="inlineStr">
        <is>
          <t>equipment/human_female/ranger_body</t>
        </is>
      </c>
      <c r="D29" t="inlineStr">
        <is>
          <t>SkinnedOverlay</t>
        </is>
      </c>
      <c r="M29" t="inlineStr">
        <is>
          <t>build,fat,muscle,shoulders,torso,hips</t>
        </is>
      </c>
      <c r="N29" t="inlineStr">
        <is>
          <t>1.04</t>
        </is>
      </c>
    </row>
    <row r="30">
      <c r="A30" t="inlineStr">
        <is>
          <t>ranger_arms</t>
        </is>
      </c>
      <c r="B30" t="inlineStr">
        <is>
          <t>human_male</t>
        </is>
      </c>
      <c r="C30" t="inlineStr">
        <is>
          <t>equipment/human_male/ranger_arms</t>
        </is>
      </c>
      <c r="D30" t="inlineStr">
        <is>
          <t>SkinnedOverlay</t>
        </is>
      </c>
      <c r="M30" t="inlineStr">
        <is>
          <t>build,fat,muscle,arms</t>
        </is>
      </c>
      <c r="N30" t="inlineStr">
        <is>
          <t>1.035</t>
        </is>
      </c>
    </row>
    <row r="31">
      <c r="A31" t="inlineStr">
        <is>
          <t>ranger_arms</t>
        </is>
      </c>
      <c r="B31" t="inlineStr">
        <is>
          <t>human_female</t>
        </is>
      </c>
      <c r="C31" t="inlineStr">
        <is>
          <t>equipment/human_female/ranger_arms</t>
        </is>
      </c>
      <c r="D31" t="inlineStr">
        <is>
          <t>SkinnedOverlay</t>
        </is>
      </c>
      <c r="M31" t="inlineStr">
        <is>
          <t>build,fat,muscle,arms</t>
        </is>
      </c>
      <c r="N31" t="inlineStr">
        <is>
          <t>1.035</t>
        </is>
      </c>
    </row>
    <row r="32">
      <c r="A32" t="inlineStr">
        <is>
          <t>ranger_legs</t>
        </is>
      </c>
      <c r="B32" t="inlineStr">
        <is>
          <t>human_male</t>
        </is>
      </c>
      <c r="C32" t="inlineStr">
        <is>
          <t>equipment/human_male/ranger_legs</t>
        </is>
      </c>
      <c r="D32" t="inlineStr">
        <is>
          <t>SkinnedOverlay</t>
        </is>
      </c>
      <c r="M32" t="inlineStr">
        <is>
          <t>build,fat,muscle,legs,hips</t>
        </is>
      </c>
      <c r="N32" t="inlineStr">
        <is>
          <t>1.04</t>
        </is>
      </c>
    </row>
    <row r="33">
      <c r="A33" t="inlineStr">
        <is>
          <t>ranger_legs</t>
        </is>
      </c>
      <c r="B33" t="inlineStr">
        <is>
          <t>human_female</t>
        </is>
      </c>
      <c r="C33" t="inlineStr">
        <is>
          <t>equipment/human_female/ranger_legs</t>
        </is>
      </c>
      <c r="D33" t="inlineStr">
        <is>
          <t>SkinnedOverlay</t>
        </is>
      </c>
      <c r="M33" t="inlineStr">
        <is>
          <t>build,fat,muscle,legs,hips</t>
        </is>
      </c>
      <c r="N33" t="inlineStr">
        <is>
          <t>1.04</t>
        </is>
      </c>
    </row>
    <row r="34">
      <c r="A34" t="inlineStr">
        <is>
          <t>ranger_feet</t>
        </is>
      </c>
      <c r="B34" t="inlineStr">
        <is>
          <t>human_male</t>
        </is>
      </c>
      <c r="C34" t="inlineStr">
        <is>
          <t>equipment/human_male/ranger_feet</t>
        </is>
      </c>
      <c r="D34" t="inlineStr">
        <is>
          <t>SkinnedOverlay</t>
        </is>
      </c>
    </row>
    <row r="35">
      <c r="A35" t="inlineStr">
        <is>
          <t>ranger_feet</t>
        </is>
      </c>
      <c r="B35" t="inlineStr">
        <is>
          <t>human_female</t>
        </is>
      </c>
      <c r="C35" t="inlineStr">
        <is>
          <t>equipment/human_female/ranger_feet</t>
        </is>
      </c>
      <c r="D35" t="inlineStr">
        <is>
          <t>SkinnedOverlay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Profile ID</t>
        </is>
      </c>
      <c r="B1" t="inlineStr">
        <is>
          <t>Species ID</t>
        </is>
      </c>
      <c r="C1" t="inlineStr">
        <is>
          <t>Enabled</t>
        </is>
      </c>
      <c r="D1" t="inlineStr">
        <is>
          <t>Schema Version</t>
        </is>
      </c>
      <c r="E1" t="inlineStr">
        <is>
          <t>Height Min</t>
        </is>
      </c>
      <c r="F1" t="inlineStr">
        <is>
          <t>Height Max</t>
        </is>
      </c>
      <c r="G1" t="inlineStr">
        <is>
          <t>Height Default</t>
        </is>
      </c>
    </row>
    <row r="2">
      <c r="A2" t="inlineStr">
        <is>
          <t>human</t>
        </is>
      </c>
      <c r="B2" t="inlineStr">
        <is>
          <t>human</t>
        </is>
      </c>
      <c r="C2" t="inlineStr">
        <is>
          <t>Y</t>
        </is>
      </c>
      <c r="D2" t="n">
        <v>1</v>
      </c>
      <c r="E2" t="n">
        <v>0.85</v>
      </c>
      <c r="F2" t="n">
        <v>1.15</v>
      </c>
      <c r="G2"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Profile ID</t>
        </is>
      </c>
      <c r="B1" t="inlineStr">
        <is>
          <t>Variant ID</t>
        </is>
      </c>
      <c r="C1" t="inlineStr">
        <is>
          <t>Render Key</t>
        </is>
      </c>
      <c r="D1" t="inlineStr">
        <is>
          <t>Display Name</t>
        </is>
      </c>
      <c r="E1" t="inlineStr">
        <is>
          <t>Enabled</t>
        </is>
      </c>
    </row>
    <row r="2">
      <c r="A2" t="inlineStr">
        <is>
          <t>human</t>
        </is>
      </c>
      <c r="B2" t="inlineStr">
        <is>
          <t>human_male</t>
        </is>
      </c>
      <c r="C2" t="inlineStr">
        <is>
          <t>human_male</t>
        </is>
      </c>
      <c r="D2" t="inlineStr">
        <is>
          <t>Human Male</t>
        </is>
      </c>
      <c r="E2" t="inlineStr">
        <is>
          <t>Y</t>
        </is>
      </c>
    </row>
    <row r="3">
      <c r="A3" t="inlineStr">
        <is>
          <t>human</t>
        </is>
      </c>
      <c r="B3" t="inlineStr">
        <is>
          <t>human_female</t>
        </is>
      </c>
      <c r="C3" t="inlineStr">
        <is>
          <t>human_female</t>
        </is>
      </c>
      <c r="D3" t="inlineStr">
        <is>
          <t>Human Female</t>
        </is>
      </c>
      <c r="E3" t="inlineStr">
        <is>
          <t>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Profile ID</t>
        </is>
      </c>
      <c r="B1" t="inlineStr">
        <is>
          <t>Param ID</t>
        </is>
      </c>
      <c r="C1" t="inlineStr">
        <is>
          <t>Display Name</t>
        </is>
      </c>
      <c r="D1" t="inlineStr">
        <is>
          <t>Category</t>
        </is>
      </c>
      <c r="E1" t="inlineStr">
        <is>
          <t>Min</t>
        </is>
      </c>
      <c r="F1" t="inlineStr">
        <is>
          <t>Max</t>
        </is>
      </c>
      <c r="G1" t="inlineStr">
        <is>
          <t>Default</t>
        </is>
      </c>
      <c r="H1" t="inlineStr">
        <is>
          <t>Display Order</t>
        </is>
      </c>
      <c r="I1" t="inlineStr">
        <is>
          <t>Enabled</t>
        </is>
      </c>
    </row>
    <row r="2">
      <c r="A2" t="inlineStr">
        <is>
          <t>human</t>
        </is>
      </c>
      <c r="B2" t="inlineStr">
        <is>
          <t>build</t>
        </is>
      </c>
      <c r="C2" t="inlineStr">
        <is>
          <t>Build</t>
        </is>
      </c>
      <c r="D2" t="inlineStr">
        <is>
          <t>Body</t>
        </is>
      </c>
      <c r="E2" t="n">
        <v>0</v>
      </c>
      <c r="F2" t="n">
        <v>1</v>
      </c>
      <c r="G2" t="n">
        <v>0.5</v>
      </c>
      <c r="H2" t="n">
        <v>1</v>
      </c>
      <c r="I2" t="inlineStr">
        <is>
          <t>Y</t>
        </is>
      </c>
    </row>
    <row r="3">
      <c r="A3" t="inlineStr">
        <is>
          <t>human</t>
        </is>
      </c>
      <c r="B3" t="inlineStr">
        <is>
          <t>fat</t>
        </is>
      </c>
      <c r="C3" t="inlineStr">
        <is>
          <t>Fat</t>
        </is>
      </c>
      <c r="D3" t="inlineStr">
        <is>
          <t>Body</t>
        </is>
      </c>
      <c r="E3" t="n">
        <v>0</v>
      </c>
      <c r="F3" t="n">
        <v>1</v>
      </c>
      <c r="G3" t="n">
        <v>0.35</v>
      </c>
      <c r="H3" t="n">
        <v>2</v>
      </c>
      <c r="I3" t="inlineStr">
        <is>
          <t>Y</t>
        </is>
      </c>
    </row>
    <row r="4">
      <c r="A4" t="inlineStr">
        <is>
          <t>human</t>
        </is>
      </c>
      <c r="B4" t="inlineStr">
        <is>
          <t>muscle</t>
        </is>
      </c>
      <c r="C4" t="inlineStr">
        <is>
          <t>Muscle</t>
        </is>
      </c>
      <c r="D4" t="inlineStr">
        <is>
          <t>Body</t>
        </is>
      </c>
      <c r="E4" t="n">
        <v>0</v>
      </c>
      <c r="F4" t="n">
        <v>1</v>
      </c>
      <c r="G4" t="n">
        <v>0.45</v>
      </c>
      <c r="H4" t="n">
        <v>3</v>
      </c>
      <c r="I4" t="inlineStr">
        <is>
          <t>Y</t>
        </is>
      </c>
    </row>
    <row r="5">
      <c r="A5" t="inlineStr">
        <is>
          <t>human</t>
        </is>
      </c>
      <c r="B5" t="inlineStr">
        <is>
          <t>head_size</t>
        </is>
      </c>
      <c r="C5" t="inlineStr">
        <is>
          <t>Head Size</t>
        </is>
      </c>
      <c r="D5" t="inlineStr">
        <is>
          <t>Head</t>
        </is>
      </c>
      <c r="E5" t="n">
        <v>0</v>
      </c>
      <c r="F5" t="n">
        <v>1</v>
      </c>
      <c r="G5" t="n">
        <v>0.5</v>
      </c>
      <c r="H5" t="n">
        <v>4</v>
      </c>
      <c r="I5" t="inlineStr">
        <is>
          <t>Y</t>
        </is>
      </c>
    </row>
    <row r="6">
      <c r="A6" t="inlineStr">
        <is>
          <t>human</t>
        </is>
      </c>
      <c r="B6" t="inlineStr">
        <is>
          <t>shoulders</t>
        </is>
      </c>
      <c r="C6" t="inlineStr">
        <is>
          <t>Shoulders</t>
        </is>
      </c>
      <c r="D6" t="inlineStr">
        <is>
          <t>Regional</t>
        </is>
      </c>
      <c r="E6" t="n">
        <v>0</v>
      </c>
      <c r="F6" t="n">
        <v>1</v>
      </c>
      <c r="G6" t="n">
        <v>0.5</v>
      </c>
      <c r="H6" t="n">
        <v>5</v>
      </c>
      <c r="I6" t="inlineStr">
        <is>
          <t>Y</t>
        </is>
      </c>
    </row>
    <row r="7">
      <c r="A7" t="inlineStr">
        <is>
          <t>human</t>
        </is>
      </c>
      <c r="B7" t="inlineStr">
        <is>
          <t>torso</t>
        </is>
      </c>
      <c r="C7" t="inlineStr">
        <is>
          <t>Torso</t>
        </is>
      </c>
      <c r="D7" t="inlineStr">
        <is>
          <t>Regional</t>
        </is>
      </c>
      <c r="E7" t="n">
        <v>0</v>
      </c>
      <c r="F7" t="n">
        <v>1</v>
      </c>
      <c r="G7" t="n">
        <v>0.5</v>
      </c>
      <c r="H7" t="n">
        <v>6</v>
      </c>
      <c r="I7" t="inlineStr">
        <is>
          <t>Y</t>
        </is>
      </c>
    </row>
    <row r="8">
      <c r="A8" t="inlineStr">
        <is>
          <t>human</t>
        </is>
      </c>
      <c r="B8" t="inlineStr">
        <is>
          <t>arms</t>
        </is>
      </c>
      <c r="C8" t="inlineStr">
        <is>
          <t>Arms</t>
        </is>
      </c>
      <c r="D8" t="inlineStr">
        <is>
          <t>Regional</t>
        </is>
      </c>
      <c r="E8" t="n">
        <v>0</v>
      </c>
      <c r="F8" t="n">
        <v>1</v>
      </c>
      <c r="G8" t="n">
        <v>0.5</v>
      </c>
      <c r="H8" t="n">
        <v>7</v>
      </c>
      <c r="I8" t="inlineStr">
        <is>
          <t>Y</t>
        </is>
      </c>
    </row>
    <row r="9">
      <c r="A9" t="inlineStr">
        <is>
          <t>human</t>
        </is>
      </c>
      <c r="B9" t="inlineStr">
        <is>
          <t>hips</t>
        </is>
      </c>
      <c r="C9" t="inlineStr">
        <is>
          <t>Hips</t>
        </is>
      </c>
      <c r="D9" t="inlineStr">
        <is>
          <t>Regional</t>
        </is>
      </c>
      <c r="E9" t="n">
        <v>0</v>
      </c>
      <c r="F9" t="n">
        <v>1</v>
      </c>
      <c r="G9" t="n">
        <v>0.5</v>
      </c>
      <c r="H9" t="n">
        <v>8</v>
      </c>
      <c r="I9" t="inlineStr">
        <is>
          <t>Y</t>
        </is>
      </c>
    </row>
    <row r="10">
      <c r="A10" t="inlineStr">
        <is>
          <t>human</t>
        </is>
      </c>
      <c r="B10" t="inlineStr">
        <is>
          <t>legs</t>
        </is>
      </c>
      <c r="C10" t="inlineStr">
        <is>
          <t>Legs</t>
        </is>
      </c>
      <c r="D10" t="inlineStr">
        <is>
          <t>Regional</t>
        </is>
      </c>
      <c r="E10" t="n">
        <v>0</v>
      </c>
      <c r="F10" t="n">
        <v>1</v>
      </c>
      <c r="G10" t="n">
        <v>0.5</v>
      </c>
      <c r="H10" t="n">
        <v>9</v>
      </c>
      <c r="I10" t="inlineStr">
        <is>
          <t>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Profile ID</t>
        </is>
      </c>
      <c r="B1" t="inlineStr">
        <is>
          <t>Variant ID</t>
        </is>
      </c>
      <c r="C1" t="inlineStr">
        <is>
          <t>Param ID</t>
        </is>
      </c>
      <c r="D1" t="inlineStr">
        <is>
          <t>Target Name</t>
        </is>
      </c>
      <c r="E1" t="inlineStr">
        <is>
          <t>Side</t>
        </is>
      </c>
      <c r="F1" t="inlineStr">
        <is>
          <t>Multiplier</t>
        </is>
      </c>
      <c r="G1" t="inlineStr">
        <is>
          <t>Enabled</t>
        </is>
      </c>
    </row>
    <row r="2">
      <c r="A2" t="inlineStr">
        <is>
          <t>human</t>
        </is>
      </c>
      <c r="B2" t="inlineStr">
        <is>
          <t>human_male</t>
        </is>
      </c>
      <c r="C2" t="inlineStr">
        <is>
          <t>build</t>
        </is>
      </c>
      <c r="D2" t="inlineStr">
        <is>
          <t>build_broad</t>
        </is>
      </c>
      <c r="E2" t="inlineStr">
        <is>
          <t>Above Default</t>
        </is>
      </c>
      <c r="F2" t="n">
        <v>1</v>
      </c>
      <c r="G2" t="inlineStr">
        <is>
          <t>Y</t>
        </is>
      </c>
    </row>
    <row r="3">
      <c r="A3" t="inlineStr">
        <is>
          <t>human</t>
        </is>
      </c>
      <c r="B3" t="inlineStr">
        <is>
          <t>human_male</t>
        </is>
      </c>
      <c r="C3" t="inlineStr">
        <is>
          <t>build</t>
        </is>
      </c>
      <c r="D3" t="inlineStr">
        <is>
          <t>build_narrow</t>
        </is>
      </c>
      <c r="E3" t="inlineStr">
        <is>
          <t>Below Default</t>
        </is>
      </c>
      <c r="F3" t="n">
        <v>1</v>
      </c>
      <c r="G3" t="inlineStr">
        <is>
          <t>Y</t>
        </is>
      </c>
    </row>
    <row r="4">
      <c r="A4" t="inlineStr">
        <is>
          <t>human</t>
        </is>
      </c>
      <c r="B4" t="inlineStr">
        <is>
          <t>human_male</t>
        </is>
      </c>
      <c r="C4" t="inlineStr">
        <is>
          <t>fat</t>
        </is>
      </c>
      <c r="D4" t="inlineStr">
        <is>
          <t>fat_soft</t>
        </is>
      </c>
      <c r="E4" t="inlineStr">
        <is>
          <t>Above Default</t>
        </is>
      </c>
      <c r="F4" t="n">
        <v>1</v>
      </c>
      <c r="G4" t="inlineStr">
        <is>
          <t>Y</t>
        </is>
      </c>
    </row>
    <row r="5">
      <c r="A5" t="inlineStr">
        <is>
          <t>human</t>
        </is>
      </c>
      <c r="B5" t="inlineStr">
        <is>
          <t>human_male</t>
        </is>
      </c>
      <c r="C5" t="inlineStr">
        <is>
          <t>muscle</t>
        </is>
      </c>
      <c r="D5" t="inlineStr">
        <is>
          <t>muscle_define</t>
        </is>
      </c>
      <c r="E5" t="inlineStr">
        <is>
          <t>Above Default</t>
        </is>
      </c>
      <c r="F5" t="n">
        <v>1</v>
      </c>
      <c r="G5" t="inlineStr">
        <is>
          <t>Y</t>
        </is>
      </c>
    </row>
    <row r="6">
      <c r="A6" t="inlineStr">
        <is>
          <t>human</t>
        </is>
      </c>
      <c r="B6" t="inlineStr">
        <is>
          <t>human_male</t>
        </is>
      </c>
      <c r="C6" t="inlineStr">
        <is>
          <t>head_size</t>
        </is>
      </c>
      <c r="D6" t="inlineStr">
        <is>
          <t>head_large</t>
        </is>
      </c>
      <c r="E6" t="inlineStr">
        <is>
          <t>Above Default</t>
        </is>
      </c>
      <c r="F6" t="n">
        <v>1</v>
      </c>
      <c r="G6" t="inlineStr">
        <is>
          <t>Y</t>
        </is>
      </c>
    </row>
    <row r="7">
      <c r="A7" t="inlineStr">
        <is>
          <t>human</t>
        </is>
      </c>
      <c r="B7" t="inlineStr">
        <is>
          <t>human_male</t>
        </is>
      </c>
      <c r="C7" t="inlineStr">
        <is>
          <t>head_size</t>
        </is>
      </c>
      <c r="D7" t="inlineStr">
        <is>
          <t>head_small</t>
        </is>
      </c>
      <c r="E7" t="inlineStr">
        <is>
          <t>Below Default</t>
        </is>
      </c>
      <c r="F7" t="n">
        <v>1</v>
      </c>
      <c r="G7" t="inlineStr">
        <is>
          <t>Y</t>
        </is>
      </c>
    </row>
    <row r="8">
      <c r="A8" t="inlineStr">
        <is>
          <t>human</t>
        </is>
      </c>
      <c r="B8" t="inlineStr">
        <is>
          <t>human_male</t>
        </is>
      </c>
      <c r="C8" t="inlineStr">
        <is>
          <t>shoulders</t>
        </is>
      </c>
      <c r="D8" t="inlineStr">
        <is>
          <t>shoulders_broad</t>
        </is>
      </c>
      <c r="E8" t="inlineStr">
        <is>
          <t>Above Default</t>
        </is>
      </c>
      <c r="F8" t="n">
        <v>1</v>
      </c>
      <c r="G8" t="inlineStr">
        <is>
          <t>Y</t>
        </is>
      </c>
    </row>
    <row r="9">
      <c r="A9" t="inlineStr">
        <is>
          <t>human</t>
        </is>
      </c>
      <c r="B9" t="inlineStr">
        <is>
          <t>human_male</t>
        </is>
      </c>
      <c r="C9" t="inlineStr">
        <is>
          <t>shoulders</t>
        </is>
      </c>
      <c r="D9" t="inlineStr">
        <is>
          <t>shoulders_narrow</t>
        </is>
      </c>
      <c r="E9" t="inlineStr">
        <is>
          <t>Below Default</t>
        </is>
      </c>
      <c r="F9" t="n">
        <v>1</v>
      </c>
      <c r="G9" t="inlineStr">
        <is>
          <t>Y</t>
        </is>
      </c>
    </row>
    <row r="10">
      <c r="A10" t="inlineStr">
        <is>
          <t>human</t>
        </is>
      </c>
      <c r="B10" t="inlineStr">
        <is>
          <t>human_male</t>
        </is>
      </c>
      <c r="C10" t="inlineStr">
        <is>
          <t>torso</t>
        </is>
      </c>
      <c r="D10" t="inlineStr">
        <is>
          <t>torso_broad</t>
        </is>
      </c>
      <c r="E10" t="inlineStr">
        <is>
          <t>Above Default</t>
        </is>
      </c>
      <c r="F10" t="n">
        <v>1</v>
      </c>
      <c r="G10" t="inlineStr">
        <is>
          <t>Y</t>
        </is>
      </c>
    </row>
    <row r="11">
      <c r="A11" t="inlineStr">
        <is>
          <t>human</t>
        </is>
      </c>
      <c r="B11" t="inlineStr">
        <is>
          <t>human_male</t>
        </is>
      </c>
      <c r="C11" t="inlineStr">
        <is>
          <t>torso</t>
        </is>
      </c>
      <c r="D11" t="inlineStr">
        <is>
          <t>torso_narrow</t>
        </is>
      </c>
      <c r="E11" t="inlineStr">
        <is>
          <t>Below Default</t>
        </is>
      </c>
      <c r="F11" t="n">
        <v>1</v>
      </c>
      <c r="G11" t="inlineStr">
        <is>
          <t>Y</t>
        </is>
      </c>
    </row>
    <row r="12">
      <c r="A12" t="inlineStr">
        <is>
          <t>human</t>
        </is>
      </c>
      <c r="B12" t="inlineStr">
        <is>
          <t>human_male</t>
        </is>
      </c>
      <c r="C12" t="inlineStr">
        <is>
          <t>arms</t>
        </is>
      </c>
      <c r="D12" t="inlineStr">
        <is>
          <t>arms_thick</t>
        </is>
      </c>
      <c r="E12" t="inlineStr">
        <is>
          <t>Above Default</t>
        </is>
      </c>
      <c r="F12" t="n">
        <v>1</v>
      </c>
      <c r="G12" t="inlineStr">
        <is>
          <t>Y</t>
        </is>
      </c>
    </row>
    <row r="13">
      <c r="A13" t="inlineStr">
        <is>
          <t>human</t>
        </is>
      </c>
      <c r="B13" t="inlineStr">
        <is>
          <t>human_male</t>
        </is>
      </c>
      <c r="C13" t="inlineStr">
        <is>
          <t>arms</t>
        </is>
      </c>
      <c r="D13" t="inlineStr">
        <is>
          <t>arms_thin</t>
        </is>
      </c>
      <c r="E13" t="inlineStr">
        <is>
          <t>Below Default</t>
        </is>
      </c>
      <c r="F13" t="n">
        <v>1</v>
      </c>
      <c r="G13" t="inlineStr">
        <is>
          <t>Y</t>
        </is>
      </c>
    </row>
    <row r="14">
      <c r="A14" t="inlineStr">
        <is>
          <t>human</t>
        </is>
      </c>
      <c r="B14" t="inlineStr">
        <is>
          <t>human_male</t>
        </is>
      </c>
      <c r="C14" t="inlineStr">
        <is>
          <t>hips</t>
        </is>
      </c>
      <c r="D14" t="inlineStr">
        <is>
          <t>hips_broad</t>
        </is>
      </c>
      <c r="E14" t="inlineStr">
        <is>
          <t>Above Default</t>
        </is>
      </c>
      <c r="F14" t="n">
        <v>1</v>
      </c>
      <c r="G14" t="inlineStr">
        <is>
          <t>Y</t>
        </is>
      </c>
    </row>
    <row r="15">
      <c r="A15" t="inlineStr">
        <is>
          <t>human</t>
        </is>
      </c>
      <c r="B15" t="inlineStr">
        <is>
          <t>human_male</t>
        </is>
      </c>
      <c r="C15" t="inlineStr">
        <is>
          <t>hips</t>
        </is>
      </c>
      <c r="D15" t="inlineStr">
        <is>
          <t>hips_narrow</t>
        </is>
      </c>
      <c r="E15" t="inlineStr">
        <is>
          <t>Below Default</t>
        </is>
      </c>
      <c r="F15" t="n">
        <v>1</v>
      </c>
      <c r="G15" t="inlineStr">
        <is>
          <t>Y</t>
        </is>
      </c>
    </row>
    <row r="16">
      <c r="A16" t="inlineStr">
        <is>
          <t>human</t>
        </is>
      </c>
      <c r="B16" t="inlineStr">
        <is>
          <t>human_male</t>
        </is>
      </c>
      <c r="C16" t="inlineStr">
        <is>
          <t>legs</t>
        </is>
      </c>
      <c r="D16" t="inlineStr">
        <is>
          <t>legs_thick</t>
        </is>
      </c>
      <c r="E16" t="inlineStr">
        <is>
          <t>Above Default</t>
        </is>
      </c>
      <c r="F16" t="n">
        <v>1</v>
      </c>
      <c r="G16" t="inlineStr">
        <is>
          <t>Y</t>
        </is>
      </c>
    </row>
    <row r="17">
      <c r="A17" t="inlineStr">
        <is>
          <t>human</t>
        </is>
      </c>
      <c r="B17" t="inlineStr">
        <is>
          <t>human_male</t>
        </is>
      </c>
      <c r="C17" t="inlineStr">
        <is>
          <t>legs</t>
        </is>
      </c>
      <c r="D17" t="inlineStr">
        <is>
          <t>legs_thin</t>
        </is>
      </c>
      <c r="E17" t="inlineStr">
        <is>
          <t>Below Default</t>
        </is>
      </c>
      <c r="F17" t="n">
        <v>1</v>
      </c>
      <c r="G17" t="inlineStr">
        <is>
          <t>Y</t>
        </is>
      </c>
    </row>
    <row r="18">
      <c r="A18" t="inlineStr">
        <is>
          <t>human</t>
        </is>
      </c>
      <c r="B18" t="inlineStr">
        <is>
          <t>human_female</t>
        </is>
      </c>
      <c r="C18" t="inlineStr">
        <is>
          <t>build</t>
        </is>
      </c>
      <c r="D18" t="inlineStr">
        <is>
          <t>build_broad</t>
        </is>
      </c>
      <c r="E18" t="inlineStr">
        <is>
          <t>Above Default</t>
        </is>
      </c>
      <c r="F18" t="n">
        <v>1</v>
      </c>
      <c r="G18" t="inlineStr">
        <is>
          <t>Y</t>
        </is>
      </c>
    </row>
    <row r="19">
      <c r="A19" t="inlineStr">
        <is>
          <t>human</t>
        </is>
      </c>
      <c r="B19" t="inlineStr">
        <is>
          <t>human_female</t>
        </is>
      </c>
      <c r="C19" t="inlineStr">
        <is>
          <t>build</t>
        </is>
      </c>
      <c r="D19" t="inlineStr">
        <is>
          <t>build_narrow</t>
        </is>
      </c>
      <c r="E19" t="inlineStr">
        <is>
          <t>Below Default</t>
        </is>
      </c>
      <c r="F19" t="n">
        <v>1</v>
      </c>
      <c r="G19" t="inlineStr">
        <is>
          <t>Y</t>
        </is>
      </c>
    </row>
    <row r="20">
      <c r="A20" t="inlineStr">
        <is>
          <t>human</t>
        </is>
      </c>
      <c r="B20" t="inlineStr">
        <is>
          <t>human_female</t>
        </is>
      </c>
      <c r="C20" t="inlineStr">
        <is>
          <t>fat</t>
        </is>
      </c>
      <c r="D20" t="inlineStr">
        <is>
          <t>fat_soft</t>
        </is>
      </c>
      <c r="E20" t="inlineStr">
        <is>
          <t>Above Default</t>
        </is>
      </c>
      <c r="F20" t="n">
        <v>1</v>
      </c>
      <c r="G20" t="inlineStr">
        <is>
          <t>Y</t>
        </is>
      </c>
    </row>
    <row r="21">
      <c r="A21" t="inlineStr">
        <is>
          <t>human</t>
        </is>
      </c>
      <c r="B21" t="inlineStr">
        <is>
          <t>human_female</t>
        </is>
      </c>
      <c r="C21" t="inlineStr">
        <is>
          <t>muscle</t>
        </is>
      </c>
      <c r="D21" t="inlineStr">
        <is>
          <t>muscle_define</t>
        </is>
      </c>
      <c r="E21" t="inlineStr">
        <is>
          <t>Above Default</t>
        </is>
      </c>
      <c r="F21" t="n">
        <v>1</v>
      </c>
      <c r="G21" t="inlineStr">
        <is>
          <t>Y</t>
        </is>
      </c>
    </row>
    <row r="22">
      <c r="A22" t="inlineStr">
        <is>
          <t>human</t>
        </is>
      </c>
      <c r="B22" t="inlineStr">
        <is>
          <t>human_female</t>
        </is>
      </c>
      <c r="C22" t="inlineStr">
        <is>
          <t>head_size</t>
        </is>
      </c>
      <c r="D22" t="inlineStr">
        <is>
          <t>head_large</t>
        </is>
      </c>
      <c r="E22" t="inlineStr">
        <is>
          <t>Above Default</t>
        </is>
      </c>
      <c r="F22" t="n">
        <v>1</v>
      </c>
      <c r="G22" t="inlineStr">
        <is>
          <t>Y</t>
        </is>
      </c>
    </row>
    <row r="23">
      <c r="A23" t="inlineStr">
        <is>
          <t>human</t>
        </is>
      </c>
      <c r="B23" t="inlineStr">
        <is>
          <t>human_female</t>
        </is>
      </c>
      <c r="C23" t="inlineStr">
        <is>
          <t>head_size</t>
        </is>
      </c>
      <c r="D23" t="inlineStr">
        <is>
          <t>head_small</t>
        </is>
      </c>
      <c r="E23" t="inlineStr">
        <is>
          <t>Below Default</t>
        </is>
      </c>
      <c r="F23" t="n">
        <v>1</v>
      </c>
      <c r="G23" t="inlineStr">
        <is>
          <t>Y</t>
        </is>
      </c>
    </row>
    <row r="24">
      <c r="A24" t="inlineStr">
        <is>
          <t>human</t>
        </is>
      </c>
      <c r="B24" t="inlineStr">
        <is>
          <t>human_female</t>
        </is>
      </c>
      <c r="C24" t="inlineStr">
        <is>
          <t>shoulders</t>
        </is>
      </c>
      <c r="D24" t="inlineStr">
        <is>
          <t>shoulders_broad</t>
        </is>
      </c>
      <c r="E24" t="inlineStr">
        <is>
          <t>Above Default</t>
        </is>
      </c>
      <c r="F24" t="n">
        <v>1</v>
      </c>
      <c r="G24" t="inlineStr">
        <is>
          <t>Y</t>
        </is>
      </c>
    </row>
    <row r="25">
      <c r="A25" t="inlineStr">
        <is>
          <t>human</t>
        </is>
      </c>
      <c r="B25" t="inlineStr">
        <is>
          <t>human_female</t>
        </is>
      </c>
      <c r="C25" t="inlineStr">
        <is>
          <t>shoulders</t>
        </is>
      </c>
      <c r="D25" t="inlineStr">
        <is>
          <t>shoulders_narrow</t>
        </is>
      </c>
      <c r="E25" t="inlineStr">
        <is>
          <t>Below Default</t>
        </is>
      </c>
      <c r="F25" t="n">
        <v>1</v>
      </c>
      <c r="G25" t="inlineStr">
        <is>
          <t>Y</t>
        </is>
      </c>
    </row>
    <row r="26">
      <c r="A26" t="inlineStr">
        <is>
          <t>human</t>
        </is>
      </c>
      <c r="B26" t="inlineStr">
        <is>
          <t>human_female</t>
        </is>
      </c>
      <c r="C26" t="inlineStr">
        <is>
          <t>torso</t>
        </is>
      </c>
      <c r="D26" t="inlineStr">
        <is>
          <t>torso_broad</t>
        </is>
      </c>
      <c r="E26" t="inlineStr">
        <is>
          <t>Above Default</t>
        </is>
      </c>
      <c r="F26" t="n">
        <v>1</v>
      </c>
      <c r="G26" t="inlineStr">
        <is>
          <t>Y</t>
        </is>
      </c>
    </row>
    <row r="27">
      <c r="A27" t="inlineStr">
        <is>
          <t>human</t>
        </is>
      </c>
      <c r="B27" t="inlineStr">
        <is>
          <t>human_female</t>
        </is>
      </c>
      <c r="C27" t="inlineStr">
        <is>
          <t>torso</t>
        </is>
      </c>
      <c r="D27" t="inlineStr">
        <is>
          <t>torso_narrow</t>
        </is>
      </c>
      <c r="E27" t="inlineStr">
        <is>
          <t>Below Default</t>
        </is>
      </c>
      <c r="F27" t="n">
        <v>1</v>
      </c>
      <c r="G27" t="inlineStr">
        <is>
          <t>Y</t>
        </is>
      </c>
    </row>
    <row r="28">
      <c r="A28" t="inlineStr">
        <is>
          <t>human</t>
        </is>
      </c>
      <c r="B28" t="inlineStr">
        <is>
          <t>human_female</t>
        </is>
      </c>
      <c r="C28" t="inlineStr">
        <is>
          <t>arms</t>
        </is>
      </c>
      <c r="D28" t="inlineStr">
        <is>
          <t>arms_thick</t>
        </is>
      </c>
      <c r="E28" t="inlineStr">
        <is>
          <t>Above Default</t>
        </is>
      </c>
      <c r="F28" t="n">
        <v>1</v>
      </c>
      <c r="G28" t="inlineStr">
        <is>
          <t>Y</t>
        </is>
      </c>
    </row>
    <row r="29">
      <c r="A29" t="inlineStr">
        <is>
          <t>human</t>
        </is>
      </c>
      <c r="B29" t="inlineStr">
        <is>
          <t>human_female</t>
        </is>
      </c>
      <c r="C29" t="inlineStr">
        <is>
          <t>arms</t>
        </is>
      </c>
      <c r="D29" t="inlineStr">
        <is>
          <t>arms_thin</t>
        </is>
      </c>
      <c r="E29" t="inlineStr">
        <is>
          <t>Below Default</t>
        </is>
      </c>
      <c r="F29" t="n">
        <v>1</v>
      </c>
      <c r="G29" t="inlineStr">
        <is>
          <t>Y</t>
        </is>
      </c>
    </row>
    <row r="30">
      <c r="A30" t="inlineStr">
        <is>
          <t>human</t>
        </is>
      </c>
      <c r="B30" t="inlineStr">
        <is>
          <t>human_female</t>
        </is>
      </c>
      <c r="C30" t="inlineStr">
        <is>
          <t>hips</t>
        </is>
      </c>
      <c r="D30" t="inlineStr">
        <is>
          <t>hips_broad</t>
        </is>
      </c>
      <c r="E30" t="inlineStr">
        <is>
          <t>Above Default</t>
        </is>
      </c>
      <c r="F30" t="n">
        <v>1</v>
      </c>
      <c r="G30" t="inlineStr">
        <is>
          <t>Y</t>
        </is>
      </c>
    </row>
    <row r="31">
      <c r="A31" t="inlineStr">
        <is>
          <t>human</t>
        </is>
      </c>
      <c r="B31" t="inlineStr">
        <is>
          <t>human_female</t>
        </is>
      </c>
      <c r="C31" t="inlineStr">
        <is>
          <t>hips</t>
        </is>
      </c>
      <c r="D31" t="inlineStr">
        <is>
          <t>hips_narrow</t>
        </is>
      </c>
      <c r="E31" t="inlineStr">
        <is>
          <t>Below Default</t>
        </is>
      </c>
      <c r="F31" t="n">
        <v>1</v>
      </c>
      <c r="G31" t="inlineStr">
        <is>
          <t>Y</t>
        </is>
      </c>
    </row>
    <row r="32">
      <c r="A32" t="inlineStr">
        <is>
          <t>human</t>
        </is>
      </c>
      <c r="B32" t="inlineStr">
        <is>
          <t>human_female</t>
        </is>
      </c>
      <c r="C32" t="inlineStr">
        <is>
          <t>legs</t>
        </is>
      </c>
      <c r="D32" t="inlineStr">
        <is>
          <t>legs_thick</t>
        </is>
      </c>
      <c r="E32" t="inlineStr">
        <is>
          <t>Above Default</t>
        </is>
      </c>
      <c r="F32" t="n">
        <v>1</v>
      </c>
      <c r="G32" t="inlineStr">
        <is>
          <t>Y</t>
        </is>
      </c>
    </row>
    <row r="33">
      <c r="A33" t="inlineStr">
        <is>
          <t>human</t>
        </is>
      </c>
      <c r="B33" t="inlineStr">
        <is>
          <t>human_female</t>
        </is>
      </c>
      <c r="C33" t="inlineStr">
        <is>
          <t>legs</t>
        </is>
      </c>
      <c r="D33" t="inlineStr">
        <is>
          <t>legs_thin</t>
        </is>
      </c>
      <c r="E33" t="inlineStr">
        <is>
          <t>Below Default</t>
        </is>
      </c>
      <c r="F33" t="n">
        <v>1</v>
      </c>
      <c r="G33"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Matthew Dewyer</dc:creator>
  <dcterms:created xsi:type="dcterms:W3CDTF">2026-06-15T15:32:06Z</dcterms:created>
  <dcterms:modified xsi:type="dcterms:W3CDTF">2026-10-19T18:55:58Z</dcterms:modified>
  <cp:lastModifiedBy>Matthew Dewyer</cp:lastModifiedBy>
</cp:coreProperties>
</file>