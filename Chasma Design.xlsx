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15" yWindow="15" windowWidth="28785" windowHeight="15570" tabRatio="600" firstSheet="3" activeTab="13"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b val="1"/>
      <color rgb="00FFFFFF"/>
    </font>
    <font>
      <b val="1"/>
      <sz val="14"/>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001F4E79"/>
      </patternFill>
    </fill>
    <fill>
      <patternFill patternType="solid">
        <fgColor rgb="00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3" fillId="11" borderId="6" pivotButton="0" quotePrefix="0" xfId="0"/>
    <xf numFmtId="0" fontId="3" fillId="11" borderId="0" pivotButton="0" quotePrefix="0" xfId="0"/>
    <xf numFmtId="0" fontId="2" fillId="12" borderId="0" pivotButton="0" quotePrefix="0" xfId="0"/>
    <xf numFmtId="0" fontId="3" fillId="12" borderId="0" pivotButton="0" quotePrefix="0" xfId="0"/>
    <xf numFmtId="0" fontId="1" fillId="13" borderId="0" pivotButton="0" quotePrefix="0" xfId="0"/>
    <xf numFmtId="0" fontId="1" fillId="13" borderId="1" pivotButton="0" quotePrefix="0" xfId="0"/>
    <xf numFmtId="0" fontId="3" fillId="12" borderId="5" pivotButton="0" quotePrefix="0" xfId="0"/>
    <xf numFmtId="0" fontId="3" fillId="14"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5" borderId="0" applyAlignment="1" pivotButton="0" quotePrefix="0" xfId="0">
      <alignment horizontal="center"/>
    </xf>
    <xf numFmtId="0" fontId="12" fillId="17" borderId="0" pivotButton="0" quotePrefix="0" xfId="0"/>
    <xf numFmtId="0" fontId="11" fillId="16" borderId="0" pivotButton="0" quotePrefix="0" xfId="0"/>
    <xf numFmtId="0" fontId="0" fillId="0" borderId="0" applyAlignment="1" pivotButton="0" quotePrefix="0" xfId="0">
      <alignment wrapText="1"/>
    </xf>
    <xf numFmtId="0" fontId="0" fillId="0" borderId="0" pivotButton="0" quotePrefix="0" xfId="0"/>
    <xf numFmtId="0" fontId="5" fillId="0" borderId="0" pivotButton="0" quotePrefix="0" xfId="0"/>
    <xf numFmtId="0" fontId="14" fillId="19" borderId="0" pivotButton="0" quotePrefix="0" xfId="0"/>
    <xf numFmtId="0" fontId="0" fillId="19" borderId="0" pivotButton="0" quotePrefix="0" xfId="0"/>
    <xf numFmtId="0" fontId="13" fillId="18" borderId="0" applyAlignment="1" pivotButton="0" quotePrefix="0" xfId="0">
      <alignment horizontal="center" vertical="center" wrapText="1"/>
    </xf>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T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38" min="1" max="1"/>
    <col width="22" customWidth="1" style="38" min="2" max="3"/>
    <col width="48" customWidth="1" style="38" min="4" max="4"/>
  </cols>
  <sheetData>
    <row r="1" ht="15.75" customHeight="1" s="38">
      <c r="A1" s="35" t="inlineStr">
        <is>
          <t>Column</t>
        </is>
      </c>
      <c r="B1" s="35" t="inlineStr">
        <is>
          <t>Import</t>
        </is>
      </c>
      <c r="C1" s="35" t="inlineStr">
        <is>
          <t>Runtime use</t>
        </is>
      </c>
      <c r="D1" s="35"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7"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5" activePane="bottomLeft" state="frozen"/>
      <selection pane="bottomLeft" activeCell="A1" sqref="A1"/>
    </sheetView>
  </sheetViews>
  <sheetFormatPr baseColWidth="8" defaultRowHeight="15"/>
  <cols>
    <col width="14" customWidth="1" style="38" min="1" max="1"/>
    <col width="22" customWidth="1" style="38" min="2" max="2"/>
    <col width="16" customWidth="1" style="38" min="3" max="3"/>
    <col width="12" customWidth="1" style="38" min="4" max="4"/>
    <col width="42" customWidth="1" style="38" min="5" max="5"/>
    <col width="36" customWidth="1" style="38" min="6" max="6"/>
    <col width="24" customWidth="1" style="38" min="7" max="7"/>
    <col width="34" customWidth="1" style="38" min="8" max="8"/>
    <col width="36" customWidth="1" style="38" min="9" max="9"/>
  </cols>
  <sheetData>
    <row r="1">
      <c r="A1" s="40" t="inlineStr">
        <is>
          <t>HOTKEY REGISTRY — Chasma</t>
        </is>
      </c>
      <c r="B1" s="41" t="inlineStr"/>
      <c r="C1" s="41" t="inlineStr"/>
      <c r="D1" s="41" t="inlineStr"/>
      <c r="E1" s="41" t="inlineStr"/>
      <c r="F1" s="41" t="inlineStr"/>
      <c r="G1" s="41" t="inlineStr"/>
      <c r="H1" s="41" t="inlineStr"/>
      <c r="I1" s="41" t="inlineStr"/>
    </row>
    <row r="2">
      <c r="A2" s="41" t="inlineStr">
        <is>
          <t>Maintenance: update this sheet whenever keyboard bindings change in src/.</t>
        </is>
      </c>
      <c r="B2" s="41" t="inlineStr"/>
      <c r="C2" s="41" t="inlineStr"/>
      <c r="D2" s="41" t="inlineStr"/>
      <c r="E2" s="41" t="inlineStr">
        <is>
          <t>Regenerate: python tools/update_hotkeys_sheet.py</t>
        </is>
      </c>
      <c r="F2" s="41" t="inlineStr">
        <is>
          <t>Audit code: rg 'KeyCode::' src/</t>
        </is>
      </c>
      <c r="G2" s="41" t="inlineStr">
        <is>
          <t>Also update docs/dev-mode.md if player-facing</t>
        </is>
      </c>
      <c r="H2" s="41" t="inlineStr"/>
      <c r="I2" s="41" t="inlineStr">
        <is>
          <t>Last regenerated by tools/update_hotkeys_sheet.py</t>
        </is>
      </c>
    </row>
    <row r="3">
      <c r="A3" s="41" t="inlineStr"/>
      <c r="B3" s="41" t="inlineStr"/>
      <c r="C3" s="41" t="inlineStr"/>
      <c r="D3" s="41" t="inlineStr"/>
      <c r="E3" s="41" t="inlineStr"/>
      <c r="F3" s="41" t="inlineStr"/>
      <c r="G3" s="41" t="inlineStr"/>
      <c r="H3" s="41" t="inlineStr"/>
      <c r="I3" s="41" t="inlineStr"/>
    </row>
    <row r="4">
      <c r="A4" s="42" t="inlineStr">
        <is>
          <t>Category</t>
        </is>
      </c>
      <c r="B4" s="42" t="inlineStr">
        <is>
          <t>Subcategory</t>
        </is>
      </c>
      <c r="C4" s="42" t="inlineStr">
        <is>
          <t>Key / Input</t>
        </is>
      </c>
      <c r="D4" s="42" t="inlineStr">
        <is>
          <t>Modifiers</t>
        </is>
      </c>
      <c r="E4" s="42" t="inlineStr">
        <is>
          <t>Action</t>
        </is>
      </c>
      <c r="F4" s="42" t="inlineStr">
        <is>
          <t>Context / Preconditions</t>
        </is>
      </c>
      <c r="G4" s="42" t="inlineStr">
        <is>
          <t>Blocked When</t>
        </is>
      </c>
      <c r="H4" s="42" t="inlineStr">
        <is>
          <t>Source File</t>
        </is>
      </c>
      <c r="I4" s="42" t="inlineStr">
        <is>
          <t>Overlap Notes</t>
        </is>
      </c>
    </row>
    <row r="5">
      <c r="A5" s="29" t="inlineStr">
        <is>
          <t>Global</t>
        </is>
      </c>
      <c r="B5" s="29" t="inlineStr">
        <is>
          <t>Simulation</t>
        </is>
      </c>
      <c r="C5" s="29" t="inlineStr">
        <is>
          <t>Space</t>
        </is>
      </c>
      <c r="D5" s="29" t="inlineStr"/>
      <c r="E5" s="29" t="inlineStr">
        <is>
          <t>Toggle simulation pause / resume</t>
        </is>
      </c>
      <c r="F5" s="29" t="inlineStr">
        <is>
          <t>Always (when not typing in focused text field elsewhere)</t>
        </is>
      </c>
      <c r="G5" s="29" t="inlineStr">
        <is>
          <t>Dev text focus does not block this system directly</t>
        </is>
      </c>
      <c r="H5" s="29" t="inlineStr">
        <is>
          <t>src/simulation/input.rs</t>
        </is>
      </c>
      <c r="I5" s="29" t="inlineStr">
        <is>
          <t>Shares Space with build-mode search typing only when that field focused</t>
        </is>
      </c>
    </row>
    <row r="6">
      <c r="A6" s="29" t="inlineStr">
        <is>
          <t>Global</t>
        </is>
      </c>
      <c r="B6" s="29" t="inlineStr">
        <is>
          <t>Simulation</t>
        </is>
      </c>
      <c r="C6" s="29" t="inlineStr">
        <is>
          <t>Shift+Space</t>
        </is>
      </c>
      <c r="D6" s="29" t="inlineStr">
        <is>
          <t>Shift</t>
        </is>
      </c>
      <c r="E6" s="29" t="inlineStr">
        <is>
          <t>Step simulation one tick</t>
        </is>
      </c>
      <c r="F6" s="29" t="inlineStr">
        <is>
          <t>Simulation control active</t>
        </is>
      </c>
      <c r="G6" s="29" t="inlineStr"/>
      <c r="H6" s="29" t="inlineStr">
        <is>
          <t>src/simulation/input.rs</t>
        </is>
      </c>
      <c r="I6" s="29" t="inlineStr"/>
    </row>
    <row r="7">
      <c r="A7" s="29" t="inlineStr">
        <is>
          <t>Global</t>
        </is>
      </c>
      <c r="B7" s="29" t="inlineStr">
        <is>
          <t>Dev Mode</t>
        </is>
      </c>
      <c r="C7" s="29" t="inlineStr">
        <is>
          <t>F12</t>
        </is>
      </c>
      <c r="D7" s="29" t="inlineStr"/>
      <c r="E7" s="29" t="inlineStr">
        <is>
          <t>Toggle Dev Mode on/off</t>
        </is>
      </c>
      <c r="F7" s="29" t="inlineStr">
        <is>
          <t>Always</t>
        </is>
      </c>
      <c r="G7" s="29" t="inlineStr"/>
      <c r="H7" s="29" t="inlineStr">
        <is>
          <t>src/dev/input.rs</t>
        </is>
      </c>
      <c r="I7" s="29" t="inlineStr"/>
    </row>
    <row r="8">
      <c r="A8" s="29" t="inlineStr">
        <is>
          <t>Camera</t>
        </is>
      </c>
      <c r="B8" s="29" t="inlineStr">
        <is>
          <t>Pan</t>
        </is>
      </c>
      <c r="C8" s="29" t="inlineStr">
        <is>
          <t>W / A / S / D</t>
        </is>
      </c>
      <c r="D8" s="29" t="inlineStr">
        <is>
          <t>Hold</t>
        </is>
      </c>
      <c r="E8" s="29" t="inlineStr">
        <is>
          <t>Pan camera (relative to yaw)</t>
        </is>
      </c>
      <c r="F8" s="29" t="inlineStr">
        <is>
          <t>Always unless dev gate blocks camera input</t>
        </is>
      </c>
      <c r="G8" s="29" t="inlineStr">
        <is>
          <t>Dev gizmo drag may block camera</t>
        </is>
      </c>
      <c r="H8" s="29" t="inlineStr">
        <is>
          <t>src/camera/control.rs</t>
        </is>
      </c>
      <c r="I8" s="29" t="inlineStr">
        <is>
          <t>W reserved — no dev hotkey on W</t>
        </is>
      </c>
    </row>
    <row r="9">
      <c r="A9" s="29" t="inlineStr">
        <is>
          <t>Camera</t>
        </is>
      </c>
      <c r="B9" s="29" t="inlineStr">
        <is>
          <t>Pan</t>
        </is>
      </c>
      <c r="C9" s="29" t="inlineStr">
        <is>
          <t>Shift</t>
        </is>
      </c>
      <c r="D9" s="29" t="inlineStr">
        <is>
          <t>Shift (hold with WASD)</t>
        </is>
      </c>
      <c r="E9" s="29" t="inlineStr">
        <is>
          <t>Fast pan</t>
        </is>
      </c>
      <c r="F9" s="29" t="inlineStr">
        <is>
          <t>While panning</t>
        </is>
      </c>
      <c r="G9" s="29" t="inlineStr"/>
      <c r="H9" s="29" t="inlineStr">
        <is>
          <t>src/camera/control.rs</t>
        </is>
      </c>
      <c r="I9" s="29" t="inlineStr">
        <is>
          <t>Also used as modifier elsewhere</t>
        </is>
      </c>
    </row>
    <row r="10">
      <c r="A10" s="29" t="inlineStr">
        <is>
          <t>Camera</t>
        </is>
      </c>
      <c r="B10" s="29" t="inlineStr">
        <is>
          <t>Rotate</t>
        </is>
      </c>
      <c r="C10" s="29" t="inlineStr">
        <is>
          <t>Middle mouse drag</t>
        </is>
      </c>
      <c r="D10" s="29" t="inlineStr">
        <is>
          <t>Mouse</t>
        </is>
      </c>
      <c r="E10" s="29" t="inlineStr">
        <is>
          <t>Orbit camera yaw/pitch</t>
        </is>
      </c>
      <c r="F10" s="29" t="inlineStr">
        <is>
          <t>Always unless blocked</t>
        </is>
      </c>
      <c r="G10" s="29" t="inlineStr"/>
      <c r="H10" s="29" t="inlineStr">
        <is>
          <t>src/camera/control.rs</t>
        </is>
      </c>
      <c r="I10" s="29" t="inlineStr"/>
    </row>
    <row r="11">
      <c r="A11" s="29" t="inlineStr">
        <is>
          <t>Camera</t>
        </is>
      </c>
      <c r="B11" s="29" t="inlineStr">
        <is>
          <t>Zoom</t>
        </is>
      </c>
      <c r="C11" s="29" t="inlineStr">
        <is>
          <t>Mouse wheel</t>
        </is>
      </c>
      <c r="D11" s="29" t="inlineStr">
        <is>
          <t>Mouse</t>
        </is>
      </c>
      <c r="E11" s="29" t="inlineStr">
        <is>
          <t>Zoom in/out</t>
        </is>
      </c>
      <c r="F11" s="29" t="inlineStr">
        <is>
          <t>Always unless blocked</t>
        </is>
      </c>
      <c r="G11" s="29" t="inlineStr"/>
      <c r="H11" s="29" t="inlineStr">
        <is>
          <t>src/camera/control.rs</t>
        </is>
      </c>
      <c r="I11" s="29" t="inlineStr"/>
    </row>
    <row r="12">
      <c r="A12" s="29" t="inlineStr">
        <is>
          <t>Gameplay</t>
        </is>
      </c>
      <c r="B12" s="29" t="inlineStr">
        <is>
          <t>Selection</t>
        </is>
      </c>
      <c r="C12" s="29" t="inlineStr">
        <is>
          <t>Left click</t>
        </is>
      </c>
      <c r="D12" s="29" t="inlineStr">
        <is>
          <t>Mouse</t>
        </is>
      </c>
      <c r="E12" s="29" t="inlineStr">
        <is>
          <t>Select unit / clear selection on terrain</t>
        </is>
      </c>
      <c r="F12" s="29" t="inlineStr">
        <is>
          <t>Not over UI; not box-dragging</t>
        </is>
      </c>
      <c r="G12" s="29" t="inlineStr">
        <is>
          <t>Dev panel hover, build mode, inventory open</t>
        </is>
      </c>
      <c r="H12" s="29" t="inlineStr">
        <is>
          <t>src/client/pipeline.rs</t>
        </is>
      </c>
      <c r="I12" s="29" t="inlineStr"/>
    </row>
    <row r="13">
      <c r="A13" s="29" t="inlineStr">
        <is>
          <t>Gameplay</t>
        </is>
      </c>
      <c r="B13" s="29" t="inlineStr">
        <is>
          <t>Selection</t>
        </is>
      </c>
      <c r="C13" s="29" t="inlineStr">
        <is>
          <t>Shift+Left click</t>
        </is>
      </c>
      <c r="D13" s="29" t="inlineStr">
        <is>
          <t>Shift</t>
        </is>
      </c>
      <c r="E13" s="29" t="inlineStr">
        <is>
          <t>Toggle unit in selection</t>
        </is>
      </c>
      <c r="F13" s="29" t="inlineStr">
        <is>
          <t>Same as left click path</t>
        </is>
      </c>
      <c r="G13" s="29" t="inlineStr"/>
      <c r="H13" s="29" t="inlineStr">
        <is>
          <t>src/client/pipeline.rs</t>
        </is>
      </c>
      <c r="I13" s="29" t="inlineStr"/>
    </row>
    <row r="14">
      <c r="A14" s="29" t="inlineStr">
        <is>
          <t>Gameplay</t>
        </is>
      </c>
      <c r="B14" s="29" t="inlineStr">
        <is>
          <t>Selection</t>
        </is>
      </c>
      <c r="C14" s="29" t="inlineStr">
        <is>
          <t>Left drag (box)</t>
        </is>
      </c>
      <c r="D14" s="29" t="inlineStr">
        <is>
          <t>Mouse</t>
        </is>
      </c>
      <c r="E14" s="29" t="inlineStr">
        <is>
          <t>Box select units</t>
        </is>
      </c>
      <c r="F14" s="29" t="inlineStr">
        <is>
          <t>Drag threshold exceeded</t>
        </is>
      </c>
      <c r="G14" s="29" t="inlineStr"/>
      <c r="H14" s="29" t="inlineStr">
        <is>
          <t>src/client/pipeline.rs</t>
        </is>
      </c>
      <c r="I14" s="29" t="inlineStr"/>
    </row>
    <row r="15">
      <c r="A15" s="29" t="inlineStr">
        <is>
          <t>Gameplay</t>
        </is>
      </c>
      <c r="B15" s="29" t="inlineStr">
        <is>
          <t>Selection</t>
        </is>
      </c>
      <c r="C15" s="29" t="inlineStr">
        <is>
          <t>Shift+Box select</t>
        </is>
      </c>
      <c r="D15" s="29" t="inlineStr">
        <is>
          <t>Shift</t>
        </is>
      </c>
      <c r="E15" s="29" t="inlineStr">
        <is>
          <t>Add units to selection</t>
        </is>
      </c>
      <c r="F15" s="29" t="inlineStr">
        <is>
          <t>Box drag</t>
        </is>
      </c>
      <c r="G15" s="29" t="inlineStr"/>
      <c r="H15" s="29" t="inlineStr">
        <is>
          <t>src/client/pipeline.rs</t>
        </is>
      </c>
      <c r="I15" s="29" t="inlineStr"/>
    </row>
    <row r="16">
      <c r="A16" s="29" t="inlineStr">
        <is>
          <t>Gameplay</t>
        </is>
      </c>
      <c r="B16" s="29" t="inlineStr">
        <is>
          <t>Selection</t>
        </is>
      </c>
      <c r="C16" s="29" t="inlineStr">
        <is>
          <t>Alt+Left click</t>
        </is>
      </c>
      <c r="D16" s="29" t="inlineStr">
        <is>
          <t>Alt</t>
        </is>
      </c>
      <c r="E16" s="29" t="inlineStr">
        <is>
          <t>Inspect unit (dev snapshot) without requiring F12</t>
        </is>
      </c>
      <c r="F16" s="29" t="inlineStr">
        <is>
          <t>Unit under cursor</t>
        </is>
      </c>
      <c r="G16" s="29" t="inlineStr"/>
      <c r="H16" s="29" t="inlineStr">
        <is>
          <t>src/dev/inspector/input.rs</t>
        </is>
      </c>
      <c r="I16" s="29" t="inlineStr">
        <is>
          <t>Dev path; works outside dev mode for units</t>
        </is>
      </c>
    </row>
    <row r="17">
      <c r="A17" s="29" t="inlineStr">
        <is>
          <t>Gameplay</t>
        </is>
      </c>
      <c r="B17" s="29" t="inlineStr">
        <is>
          <t>Commands</t>
        </is>
      </c>
      <c r="C17" s="29" t="inlineStr">
        <is>
          <t>Right click</t>
        </is>
      </c>
      <c r="D17" s="29" t="inlineStr">
        <is>
          <t>Mouse</t>
        </is>
      </c>
      <c r="E17" s="29" t="inlineStr">
        <is>
          <t>Contextual command (move, attack, interact, etc.)</t>
        </is>
      </c>
      <c r="F17" s="29" t="inlineStr">
        <is>
          <t>Units selected; not over UI</t>
        </is>
      </c>
      <c r="G17" s="29" t="inlineStr">
        <is>
          <t>Build mode ghost, dev placement</t>
        </is>
      </c>
      <c r="H17" s="29" t="inlineStr">
        <is>
          <t>src/client/pipeline.rs</t>
        </is>
      </c>
      <c r="I17" s="29" t="inlineStr"/>
    </row>
    <row r="18">
      <c r="A18" s="29" t="inlineStr">
        <is>
          <t>Gameplay</t>
        </is>
      </c>
      <c r="B18" s="29" t="inlineStr">
        <is>
          <t>Build Mode</t>
        </is>
      </c>
      <c r="C18" s="29" t="inlineStr">
        <is>
          <t>B</t>
        </is>
      </c>
      <c r="D18" s="29" t="inlineStr"/>
      <c r="E18" s="29" t="inlineStr">
        <is>
          <t>Enter / exit build mode</t>
        </is>
      </c>
      <c r="F18" s="29" t="inlineStr">
        <is>
          <t>Not in build catalog search focus</t>
        </is>
      </c>
      <c r="G18" s="29" t="inlineStr">
        <is>
          <t>Build search focused</t>
        </is>
      </c>
      <c r="H18" s="29" t="inlineStr">
        <is>
          <t>src/ui/gameplay/build_mode/input.rs</t>
        </is>
      </c>
      <c r="I18" s="29" t="inlineStr">
        <is>
          <t>B also used in Dev treasury harness (World Tools tab)</t>
        </is>
      </c>
    </row>
    <row r="19">
      <c r="A19" s="29" t="inlineStr">
        <is>
          <t>Gameplay</t>
        </is>
      </c>
      <c r="B19" s="29" t="inlineStr">
        <is>
          <t>Build Mode</t>
        </is>
      </c>
      <c r="C19" s="29" t="inlineStr">
        <is>
          <t>Esc</t>
        </is>
      </c>
      <c r="D19" s="29" t="inlineStr"/>
      <c r="E19" s="29" t="inlineStr">
        <is>
          <t>Cancel build placement</t>
        </is>
      </c>
      <c r="F19" s="29" t="inlineStr">
        <is>
          <t>Build mode active</t>
        </is>
      </c>
      <c r="G19" s="29" t="inlineStr"/>
      <c r="H19" s="29" t="inlineStr">
        <is>
          <t>src/ui/gameplay/build_mode/input.rs</t>
        </is>
      </c>
      <c r="I19" s="29" t="inlineStr">
        <is>
          <t>Esc shared globally</t>
        </is>
      </c>
    </row>
    <row r="20">
      <c r="A20" s="29" t="inlineStr">
        <is>
          <t>Gameplay</t>
        </is>
      </c>
      <c r="B20" s="29" t="inlineStr">
        <is>
          <t>Build Mode</t>
        </is>
      </c>
      <c r="C20" s="29" t="inlineStr">
        <is>
          <t>R</t>
        </is>
      </c>
      <c r="D20" s="29" t="inlineStr"/>
      <c r="E20" s="29" t="inlineStr">
        <is>
          <t>Rotate build ghost</t>
        </is>
      </c>
      <c r="F20" s="29" t="inlineStr">
        <is>
          <t>Ghost placing</t>
        </is>
      </c>
      <c r="G20" s="29" t="inlineStr"/>
      <c r="H20" s="29" t="inlineStr">
        <is>
          <t>src/ui/gameplay/build_mode/input.rs</t>
        </is>
      </c>
      <c r="I20" s="29" t="inlineStr">
        <is>
          <t>R heavily reused in dev contexts</t>
        </is>
      </c>
    </row>
    <row r="21">
      <c r="A21" s="29" t="inlineStr">
        <is>
          <t>Gameplay</t>
        </is>
      </c>
      <c r="B21" s="29" t="inlineStr">
        <is>
          <t>Build Mode</t>
        </is>
      </c>
      <c r="C21" s="29" t="inlineStr">
        <is>
          <t>Right click</t>
        </is>
      </c>
      <c r="D21" s="29" t="inlineStr">
        <is>
          <t>Mouse</t>
        </is>
      </c>
      <c r="E21" s="29" t="inlineStr">
        <is>
          <t>Cancel build placement</t>
        </is>
      </c>
      <c r="F21" s="29" t="inlineStr">
        <is>
          <t>Build mode active</t>
        </is>
      </c>
      <c r="G21" s="29" t="inlineStr"/>
      <c r="H21" s="29" t="inlineStr">
        <is>
          <t>src/ui/gameplay/build_mode/input.rs</t>
        </is>
      </c>
      <c r="I21" s="29" t="inlineStr"/>
    </row>
    <row r="22">
      <c r="A22" s="29" t="inlineStr">
        <is>
          <t>Gameplay</t>
        </is>
      </c>
      <c r="B22" s="29" t="inlineStr">
        <is>
          <t>Build Mode</t>
        </is>
      </c>
      <c r="C22" s="29" t="inlineStr">
        <is>
          <t>Left click</t>
        </is>
      </c>
      <c r="D22" s="29" t="inlineStr">
        <is>
          <t>Mouse</t>
        </is>
      </c>
      <c r="E22" s="29" t="inlineStr">
        <is>
          <t>Place building at ghost</t>
        </is>
      </c>
      <c r="F22" s="29" t="inlineStr">
        <is>
          <t>Ghost placing; valid terrain</t>
        </is>
      </c>
      <c r="G22" s="29" t="inlineStr"/>
      <c r="H22" s="29" t="inlineStr">
        <is>
          <t>src/ui/gameplay/build_mode/input.rs</t>
        </is>
      </c>
      <c r="I22" s="29" t="inlineStr"/>
    </row>
    <row r="23">
      <c r="A23" s="29" t="inlineStr">
        <is>
          <t>Gameplay</t>
        </is>
      </c>
      <c r="B23" s="29" t="inlineStr">
        <is>
          <t>Inventory</t>
        </is>
      </c>
      <c r="C23" s="29" t="inlineStr">
        <is>
          <t>I</t>
        </is>
      </c>
      <c r="D23" s="29" t="inlineStr"/>
      <c r="E23" s="29" t="inlineStr">
        <is>
          <t>Open primary unit inventory panel</t>
        </is>
      </c>
      <c r="F23" s="29" t="inlineStr">
        <is>
          <t>Primary unit selected</t>
        </is>
      </c>
      <c r="G23" s="29" t="inlineStr"/>
      <c r="H23" s="29" t="inlineStr">
        <is>
          <t>src/ui/gameplay/inventory/input.rs</t>
        </is>
      </c>
      <c r="I23" s="29" t="inlineStr">
        <is>
          <t>I reused in Dev Items tab and building inspector</t>
        </is>
      </c>
    </row>
    <row r="24">
      <c r="A24" s="29" t="inlineStr">
        <is>
          <t>Gameplay</t>
        </is>
      </c>
      <c r="B24" s="29" t="inlineStr">
        <is>
          <t>Inventory</t>
        </is>
      </c>
      <c r="C24" s="29" t="inlineStr">
        <is>
          <t>Esc</t>
        </is>
      </c>
      <c r="D24" s="29" t="inlineStr"/>
      <c r="E24" s="29" t="inlineStr">
        <is>
          <t>Close inventory / cancel drag / cancel split dialog</t>
        </is>
      </c>
      <c r="F24" s="29" t="inlineStr">
        <is>
          <t>Inventory UI open</t>
        </is>
      </c>
      <c r="G24" s="29" t="inlineStr"/>
      <c r="H24" s="29" t="inlineStr">
        <is>
          <t>src/ui/gameplay/inventory/input.rs</t>
        </is>
      </c>
      <c r="I24" s="29" t="inlineStr"/>
    </row>
    <row r="25">
      <c r="A25" s="29" t="inlineStr">
        <is>
          <t>Gameplay</t>
        </is>
      </c>
      <c r="B25" s="29" t="inlineStr">
        <is>
          <t>Inventory</t>
        </is>
      </c>
      <c r="C25" s="29" t="inlineStr">
        <is>
          <t>Ctrl+Click entry</t>
        </is>
      </c>
      <c r="D25" s="29" t="inlineStr">
        <is>
          <t>Ctrl</t>
        </is>
      </c>
      <c r="E25" s="29" t="inlineStr">
        <is>
          <t>Transfer one item to other pane</t>
        </is>
      </c>
      <c r="F25" s="29" t="inlineStr">
        <is>
          <t>Inventory open; dual pane</t>
        </is>
      </c>
      <c r="G25" s="29" t="inlineStr"/>
      <c r="H25" s="29" t="inlineStr">
        <is>
          <t>src/ui/gameplay/inventory/panel.rs</t>
        </is>
      </c>
      <c r="I25" s="29" t="inlineStr"/>
    </row>
    <row r="26">
      <c r="A26" s="29" t="inlineStr">
        <is>
          <t>Gameplay</t>
        </is>
      </c>
      <c r="B26" s="29" t="inlineStr">
        <is>
          <t>Inventory</t>
        </is>
      </c>
      <c r="C26" s="29" t="inlineStr">
        <is>
          <t>Shift+Click entry</t>
        </is>
      </c>
      <c r="D26" s="29" t="inlineStr">
        <is>
          <t>Shift</t>
        </is>
      </c>
      <c r="E26" s="29" t="inlineStr">
        <is>
          <t>Transfer half stack to other pane</t>
        </is>
      </c>
      <c r="F26" s="29" t="inlineStr">
        <is>
          <t>Inventory open; dual pane</t>
        </is>
      </c>
      <c r="G26" s="29" t="inlineStr"/>
      <c r="H26" s="29" t="inlineStr">
        <is>
          <t>src/ui/gameplay/inventory/panel.rs</t>
        </is>
      </c>
      <c r="I26" s="29" t="inlineStr"/>
    </row>
    <row r="27">
      <c r="A27" s="29" t="inlineStr">
        <is>
          <t>Gameplay</t>
        </is>
      </c>
      <c r="B27" s="29" t="inlineStr">
        <is>
          <t>Terrain Analysis</t>
        </is>
      </c>
      <c r="C27" s="29" t="inlineStr">
        <is>
          <t>O</t>
        </is>
      </c>
      <c r="D27" s="29" t="inlineStr"/>
      <c r="E27" s="29" t="inlineStr">
        <is>
          <t>Toggle Terrain Analysis panel</t>
        </is>
      </c>
      <c r="F27" s="29" t="inlineStr">
        <is>
          <t>Always</t>
        </is>
      </c>
      <c r="G27" s="29" t="inlineStr"/>
      <c r="H27" s="29" t="inlineStr">
        <is>
          <t>src/ui/gameplay/terrain_analysis/mod.rs</t>
        </is>
      </c>
      <c r="I27" s="29" t="inlineStr">
        <is>
          <t>O reused in dev (door open, auto-sort, etc.) — different contexts</t>
        </is>
      </c>
    </row>
    <row r="28">
      <c r="A28" s="29" t="inlineStr">
        <is>
          <t>Gameplay</t>
        </is>
      </c>
      <c r="B28" s="29" t="inlineStr">
        <is>
          <t>Terrain Analysis</t>
        </is>
      </c>
      <c r="C28" s="29" t="inlineStr">
        <is>
          <t>[</t>
        </is>
      </c>
      <c r="D28" s="29" t="inlineStr"/>
      <c r="E28" s="29" t="inlineStr">
        <is>
          <t>Decrease overlay opacity</t>
        </is>
      </c>
      <c r="F28" s="29" t="inlineStr">
        <is>
          <t>Terrain Analysis panel open</t>
        </is>
      </c>
      <c r="G28" s="29" t="inlineStr"/>
      <c r="H28" s="29" t="inlineStr">
        <is>
          <t>src/ui/gameplay/terrain_analysis/mod.rs</t>
        </is>
      </c>
      <c r="I28" s="29" t="inlineStr">
        <is>
          <t>[ reused in dev for floor/yaw/quantity</t>
        </is>
      </c>
    </row>
    <row r="29">
      <c r="A29" s="29" t="inlineStr">
        <is>
          <t>Gameplay</t>
        </is>
      </c>
      <c r="B29" s="29" t="inlineStr">
        <is>
          <t>Terrain Analysis</t>
        </is>
      </c>
      <c r="C29" s="29" t="inlineStr">
        <is>
          <t>]</t>
        </is>
      </c>
      <c r="D29" s="29" t="inlineStr"/>
      <c r="E29" s="29" t="inlineStr">
        <is>
          <t>Increase overlay opacity</t>
        </is>
      </c>
      <c r="F29" s="29" t="inlineStr">
        <is>
          <t>Terrain Analysis panel open</t>
        </is>
      </c>
      <c r="G29" s="29" t="inlineStr"/>
      <c r="H29" s="29" t="inlineStr">
        <is>
          <t>src/ui/gameplay/terrain_analysis/mod.rs</t>
        </is>
      </c>
      <c r="I29" s="29" t="inlineStr">
        <is>
          <t>] reused in dev contexts</t>
        </is>
      </c>
    </row>
    <row r="30">
      <c r="A30" s="29" t="inlineStr">
        <is>
          <t>Gameplay</t>
        </is>
      </c>
      <c r="B30" s="29" t="inlineStr">
        <is>
          <t>Commands HUD</t>
        </is>
      </c>
      <c r="C30" s="29" t="inlineStr">
        <is>
          <t>(mouse)</t>
        </is>
      </c>
      <c r="D30" s="29" t="inlineStr">
        <is>
          <t>Mouse</t>
        </is>
      </c>
      <c r="E30" s="29" t="inlineStr">
        <is>
          <t>Arm Move / Attack / Interact; Stop immediate</t>
        </is>
      </c>
      <c r="F30" s="29" t="inlineStr">
        <is>
          <t>Command panel buttons</t>
        </is>
      </c>
      <c r="G30" s="29" t="inlineStr"/>
      <c r="H30" s="29" t="inlineStr">
        <is>
          <t>src/ui/gameplay/command_panel.rs</t>
        </is>
      </c>
      <c r="I30" s="29" t="inlineStr">
        <is>
          <t>No letter hotkeys for command palette</t>
        </is>
      </c>
    </row>
    <row r="31">
      <c r="A31" s="29" t="inlineStr">
        <is>
          <t>Dev Mode</t>
        </is>
      </c>
      <c r="B31" s="29" t="inlineStr">
        <is>
          <t>Core</t>
        </is>
      </c>
      <c r="C31" s="29" t="inlineStr">
        <is>
          <t>Ctrl+F</t>
        </is>
      </c>
      <c r="D31" s="29" t="inlineStr">
        <is>
          <t>Ctrl</t>
        </is>
      </c>
      <c r="E31" s="29" t="inlineStr">
        <is>
          <t>Focus catalog search or scene name field</t>
        </is>
      </c>
      <c r="F31" s="29" t="inlineStr">
        <is>
          <t>Dev mode on</t>
        </is>
      </c>
      <c r="G31" s="29" t="inlineStr"/>
      <c r="H31" s="29" t="inlineStr">
        <is>
          <t>src/dev/input.rs</t>
        </is>
      </c>
      <c r="I31" s="29" t="inlineStr"/>
    </row>
    <row r="32">
      <c r="A32" s="29" t="inlineStr">
        <is>
          <t>Dev Mode</t>
        </is>
      </c>
      <c r="B32" s="29" t="inlineStr">
        <is>
          <t>Core</t>
        </is>
      </c>
      <c r="C32" s="29" t="inlineStr">
        <is>
          <t>Tab</t>
        </is>
      </c>
      <c r="D32" s="29" t="inlineStr"/>
      <c r="E32" s="29" t="inlineStr">
        <is>
          <t>Cycle dev panel tabs</t>
        </is>
      </c>
      <c r="F32" s="29" t="inlineStr">
        <is>
          <t>Dev mode on; no text focus</t>
        </is>
      </c>
      <c r="G32" s="29" t="inlineStr">
        <is>
          <t>Text focus</t>
        </is>
      </c>
      <c r="H32" s="29" t="inlineStr">
        <is>
          <t>src/dev/input.rs</t>
        </is>
      </c>
      <c r="I32" s="29" t="inlineStr">
        <is>
          <t>Tab reused in blueprint variant draft</t>
        </is>
      </c>
    </row>
    <row r="33">
      <c r="A33" s="29" t="inlineStr">
        <is>
          <t>Dev Mode</t>
        </is>
      </c>
      <c r="B33" s="29" t="inlineStr">
        <is>
          <t>Core</t>
        </is>
      </c>
      <c r="C33" s="29" t="inlineStr">
        <is>
          <t>E</t>
        </is>
      </c>
      <c r="D33" s="29" t="inlineStr"/>
      <c r="E33" s="29" t="inlineStr">
        <is>
          <t>Toggle catalog enabled-only filter</t>
        </is>
      </c>
      <c r="F33" s="29" t="inlineStr">
        <is>
          <t>Dev mode on; no text focus; no transform target selected</t>
        </is>
      </c>
      <c r="G33" s="29" t="inlineStr">
        <is>
          <t>Text focus; gizmo transform target active</t>
        </is>
      </c>
      <c r="H33" s="29" t="inlineStr">
        <is>
          <t>src/dev/input.rs</t>
        </is>
      </c>
      <c r="I33" s="29" t="inlineStr">
        <is>
          <t>E also blueprint edit enter — building selected</t>
        </is>
      </c>
    </row>
    <row r="34">
      <c r="A34" s="29" t="inlineStr">
        <is>
          <t>Dev Mode</t>
        </is>
      </c>
      <c r="B34" s="29" t="inlineStr">
        <is>
          <t>Core</t>
        </is>
      </c>
      <c r="C34" s="29" t="inlineStr">
        <is>
          <t>T</t>
        </is>
      </c>
      <c r="D34" s="29" t="inlineStr"/>
      <c r="E34" s="29" t="inlineStr">
        <is>
          <t>Cycle spawn team (Player ↔ Wilds)</t>
        </is>
      </c>
      <c r="F34" s="29" t="inlineStr">
        <is>
          <t>Dev mode on; no text focus; not Items manage subtab</t>
        </is>
      </c>
      <c r="G34" s="29" t="inlineStr">
        <is>
          <t>Text focus; Items manage subtab</t>
        </is>
      </c>
      <c r="H34" s="29" t="inlineStr">
        <is>
          <t>src/dev/input.rs</t>
        </is>
      </c>
      <c r="I34" s="29" t="inlineStr">
        <is>
          <t>T reused Items manage endpoint cycle</t>
        </is>
      </c>
    </row>
    <row r="35">
      <c r="A35" s="29" t="inlineStr">
        <is>
          <t>Dev Mode</t>
        </is>
      </c>
      <c r="B35" s="29" t="inlineStr">
        <is>
          <t>Core</t>
        </is>
      </c>
      <c r="C35" s="29" t="inlineStr">
        <is>
          <t>F</t>
        </is>
      </c>
      <c r="D35" s="29" t="inlineStr"/>
      <c r="E35" s="29" t="inlineStr">
        <is>
          <t>Toggle favorite on selected catalog definition</t>
        </is>
      </c>
      <c r="F35" s="29" t="inlineStr">
        <is>
          <t>Dev mode on; no text focus</t>
        </is>
      </c>
      <c r="G35" s="29" t="inlineStr">
        <is>
          <t>Text focus (except F in search toggles favorite)</t>
        </is>
      </c>
      <c r="H35" s="29" t="inlineStr">
        <is>
          <t>src/dev/input.rs</t>
        </is>
      </c>
      <c r="I35" s="29" t="inlineStr">
        <is>
          <t>F reused in many dev harnesses</t>
        </is>
      </c>
    </row>
    <row r="36">
      <c r="A36" s="29" t="inlineStr">
        <is>
          <t>Dev Mode</t>
        </is>
      </c>
      <c r="B36" s="29" t="inlineStr">
        <is>
          <t>Core</t>
        </is>
      </c>
      <c r="C36" s="29" t="inlineStr">
        <is>
          <t>1–9</t>
        </is>
      </c>
      <c r="D36" s="29" t="inlineStr"/>
      <c r="E36" s="29" t="inlineStr">
        <is>
          <t>Recall favorite catalog slot</t>
        </is>
      </c>
      <c r="F36" s="29" t="inlineStr">
        <is>
          <t>Dev mode on; no text focus</t>
        </is>
      </c>
      <c r="G36" s="29" t="inlineStr">
        <is>
          <t>Text focus</t>
        </is>
      </c>
      <c r="H36" s="29" t="inlineStr">
        <is>
          <t>src/dev/input.rs</t>
        </is>
      </c>
      <c r="I36" s="29" t="inlineStr">
        <is>
          <t>1–9 reused blueprint diagnostics/tools</t>
        </is>
      </c>
    </row>
    <row r="37">
      <c r="A37" s="29" t="inlineStr">
        <is>
          <t>Dev Mode</t>
        </is>
      </c>
      <c r="B37" s="29" t="inlineStr">
        <is>
          <t>Core</t>
        </is>
      </c>
      <c r="C37" s="29" t="inlineStr">
        <is>
          <t>Ctrl+1–9</t>
        </is>
      </c>
      <c r="D37" s="29" t="inlineStr">
        <is>
          <t>Ctrl</t>
        </is>
      </c>
      <c r="E37" s="29" t="inlineStr">
        <is>
          <t>Assign favorite catalog slot</t>
        </is>
      </c>
      <c r="F37" s="29" t="inlineStr">
        <is>
          <t>Dev mode on; no text focus</t>
        </is>
      </c>
      <c r="G37" s="29" t="inlineStr">
        <is>
          <t>Text focus</t>
        </is>
      </c>
      <c r="H37" s="29" t="inlineStr">
        <is>
          <t>src/dev/input.rs</t>
        </is>
      </c>
      <c r="I37" s="29" t="inlineStr"/>
    </row>
    <row r="38">
      <c r="A38" s="29" t="inlineStr">
        <is>
          <t>Dev Mode</t>
        </is>
      </c>
      <c r="B38" s="29" t="inlineStr">
        <is>
          <t>Core</t>
        </is>
      </c>
      <c r="C38" s="29" t="inlineStr">
        <is>
          <t>Esc</t>
        </is>
      </c>
      <c r="D38" s="29" t="inlineStr"/>
      <c r="E38" s="29" t="inlineStr">
        <is>
          <t>Clear text focus; cancel placement tool</t>
        </is>
      </c>
      <c r="F38" s="29" t="inlineStr">
        <is>
          <t>Dev mode on</t>
        </is>
      </c>
      <c r="G38" s="29" t="inlineStr"/>
      <c r="H38" s="29" t="inlineStr">
        <is>
          <t>src/dev/input.rs</t>
        </is>
      </c>
      <c r="I38" s="29" t="inlineStr">
        <is>
          <t>Shared with gameplay/build/gizmo/blueprint</t>
        </is>
      </c>
    </row>
    <row r="39">
      <c r="A39" s="29" t="inlineStr">
        <is>
          <t>Dev Mode</t>
        </is>
      </c>
      <c r="B39" s="29" t="inlineStr">
        <is>
          <t>Core</t>
        </is>
      </c>
      <c r="C39" s="29" t="inlineStr">
        <is>
          <t>Enter</t>
        </is>
      </c>
      <c r="D39" s="29" t="inlineStr"/>
      <c r="E39" s="29" t="inlineStr">
        <is>
          <t>Exit dev text focus (search, scene name, qty)</t>
        </is>
      </c>
      <c r="F39" s="29" t="inlineStr">
        <is>
          <t>Text field focused</t>
        </is>
      </c>
      <c r="G39" s="29" t="inlineStr"/>
      <c r="H39" s="29" t="inlineStr">
        <is>
          <t>src/dev/input.rs</t>
        </is>
      </c>
      <c r="I39" s="29" t="inlineStr"/>
    </row>
    <row r="40">
      <c r="A40" s="29" t="inlineStr">
        <is>
          <t>Dev Mode</t>
        </is>
      </c>
      <c r="B40" s="29" t="inlineStr">
        <is>
          <t>Placement</t>
        </is>
      </c>
      <c r="C40" s="29" t="inlineStr">
        <is>
          <t>Left click</t>
        </is>
      </c>
      <c r="D40" s="29" t="inlineStr">
        <is>
          <t>Mouse</t>
        </is>
      </c>
      <c r="E40" s="29" t="inlineStr">
        <is>
          <t>Spawn at terrain / place dev object</t>
        </is>
      </c>
      <c r="F40" s="29" t="inlineStr">
        <is>
          <t>Definition selected; not over panel</t>
        </is>
      </c>
      <c r="G40" s="29" t="inlineStr">
        <is>
          <t>Panel hovered</t>
        </is>
      </c>
      <c r="H40" s="29" t="inlineStr">
        <is>
          <t>src/dev/input.rs</t>
        </is>
      </c>
      <c r="I40" s="29" t="inlineStr"/>
    </row>
    <row r="41">
      <c r="A41" s="29" t="inlineStr">
        <is>
          <t>Dev Mode</t>
        </is>
      </c>
      <c r="B41" s="29" t="inlineStr">
        <is>
          <t>Placement</t>
        </is>
      </c>
      <c r="C41" s="29" t="inlineStr">
        <is>
          <t>Shift+Left click</t>
        </is>
      </c>
      <c r="D41" s="29" t="inlineStr">
        <is>
          <t>Shift</t>
        </is>
      </c>
      <c r="E41" s="29" t="inlineStr">
        <is>
          <t>Larger batch spawn count</t>
        </is>
      </c>
      <c r="F41" s="29" t="inlineStr">
        <is>
          <t>Placement active</t>
        </is>
      </c>
      <c r="G41" s="29" t="inlineStr"/>
      <c r="H41" s="29" t="inlineStr">
        <is>
          <t>src/dev/input.rs</t>
        </is>
      </c>
      <c r="I41" s="29" t="inlineStr"/>
    </row>
    <row r="42">
      <c r="A42" s="29" t="inlineStr">
        <is>
          <t>Dev Mode</t>
        </is>
      </c>
      <c r="B42" s="29" t="inlineStr">
        <is>
          <t>Placement</t>
        </is>
      </c>
      <c r="C42" s="29" t="inlineStr">
        <is>
          <t>Ctrl+Left click</t>
        </is>
      </c>
      <c r="D42" s="29" t="inlineStr">
        <is>
          <t>Ctrl</t>
        </is>
      </c>
      <c r="E42" s="29" t="inlineStr">
        <is>
          <t>Repeat last spawn</t>
        </is>
      </c>
      <c r="F42" s="29" t="inlineStr">
        <is>
          <t>Placement active</t>
        </is>
      </c>
      <c r="G42" s="29" t="inlineStr"/>
      <c r="H42" s="29" t="inlineStr">
        <is>
          <t>src/dev/input.rs</t>
        </is>
      </c>
      <c r="I42" s="29" t="inlineStr"/>
    </row>
    <row r="43">
      <c r="A43" s="29" t="inlineStr">
        <is>
          <t>Dev Mode</t>
        </is>
      </c>
      <c r="B43" s="29" t="inlineStr">
        <is>
          <t>Placement</t>
        </is>
      </c>
      <c r="C43" s="29" t="inlineStr">
        <is>
          <t>Right click</t>
        </is>
      </c>
      <c r="D43" s="29" t="inlineStr">
        <is>
          <t>Mouse</t>
        </is>
      </c>
      <c r="E43" s="29" t="inlineStr">
        <is>
          <t>Cancel placement tool</t>
        </is>
      </c>
      <c r="F43" s="29" t="inlineStr">
        <is>
          <t>Placement armed; not over panel</t>
        </is>
      </c>
      <c r="G43" s="29" t="inlineStr"/>
      <c r="H43" s="29" t="inlineStr">
        <is>
          <t>src/dev/input.rs</t>
        </is>
      </c>
      <c r="I43" s="29" t="inlineStr"/>
    </row>
    <row r="44">
      <c r="A44" s="29" t="inlineStr">
        <is>
          <t>Dev Mode</t>
        </is>
      </c>
      <c r="B44" s="29" t="inlineStr">
        <is>
          <t>Inspector Pick</t>
        </is>
      </c>
      <c r="C44" s="29" t="inlineStr">
        <is>
          <t>Left click</t>
        </is>
      </c>
      <c r="D44" s="29" t="inlineStr">
        <is>
          <t>Mouse</t>
        </is>
      </c>
      <c r="E44" s="29" t="inlineStr">
        <is>
          <t>Select unit / doodad / building / pile for inspection</t>
        </is>
      </c>
      <c r="F44" s="29" t="inlineStr">
        <is>
          <t>Dev mode or Alt; not gizmo dragging</t>
        </is>
      </c>
      <c r="G44" s="29" t="inlineStr">
        <is>
          <t>Panel hovered; blueprint edit active</t>
        </is>
      </c>
      <c r="H44" s="29" t="inlineStr">
        <is>
          <t>src/dev/inspector/input.rs</t>
        </is>
      </c>
      <c r="I44" s="29" t="inlineStr"/>
    </row>
    <row r="45">
      <c r="A45" s="29" t="inlineStr">
        <is>
          <t>Dev Mode</t>
        </is>
      </c>
      <c r="B45" s="29" t="inlineStr">
        <is>
          <t>Transform Gizmo</t>
        </is>
      </c>
      <c r="C45" s="29" t="inlineStr">
        <is>
          <t>,</t>
        </is>
      </c>
      <c r="D45" s="29" t="inlineStr"/>
      <c r="E45" s="29" t="inlineStr">
        <is>
          <t>Translate gizmo mode</t>
        </is>
      </c>
      <c r="F45" s="29" t="inlineStr">
        <is>
          <t>Doodad or building selected; dev on; no text focus</t>
        </is>
      </c>
      <c r="G45" s="29" t="inlineStr">
        <is>
          <t>Text focus</t>
        </is>
      </c>
      <c r="H45" s="29" t="inlineStr">
        <is>
          <t>src/dev/gizmo/input.rs</t>
        </is>
      </c>
      <c r="I45" s="29" t="inlineStr">
        <is>
          <t>, also toggles building production enable</t>
        </is>
      </c>
    </row>
    <row r="46">
      <c r="A46" s="29" t="inlineStr">
        <is>
          <t>Dev Mode</t>
        </is>
      </c>
      <c r="B46" s="29" t="inlineStr">
        <is>
          <t>Transform Gizmo</t>
        </is>
      </c>
      <c r="C46" s="29" t="inlineStr">
        <is>
          <t>.</t>
        </is>
      </c>
      <c r="D46" s="29" t="inlineStr"/>
      <c r="E46" s="29" t="inlineStr">
        <is>
          <t>Rotate gizmo mode</t>
        </is>
      </c>
      <c r="F46" s="29" t="inlineStr">
        <is>
          <t>Transform target selected</t>
        </is>
      </c>
      <c r="G46" s="29" t="inlineStr">
        <is>
          <t>Text focus</t>
        </is>
      </c>
      <c r="H46" s="29" t="inlineStr">
        <is>
          <t>src/dev/gizmo/input.rs</t>
        </is>
      </c>
      <c r="I46" s="29" t="inlineStr">
        <is>
          <t>. also toggles building production pause</t>
        </is>
      </c>
    </row>
    <row r="47">
      <c r="A47" s="29" t="inlineStr">
        <is>
          <t>Dev Mode</t>
        </is>
      </c>
      <c r="B47" s="29" t="inlineStr">
        <is>
          <t>Transform Gizmo</t>
        </is>
      </c>
      <c r="C47" s="29" t="inlineStr">
        <is>
          <t>/</t>
        </is>
      </c>
      <c r="D47" s="29" t="inlineStr"/>
      <c r="E47" s="29" t="inlineStr">
        <is>
          <t>Scale gizmo mode</t>
        </is>
      </c>
      <c r="F47" s="29" t="inlineStr">
        <is>
          <t>Transform target selected</t>
        </is>
      </c>
      <c r="G47" s="29" t="inlineStr">
        <is>
          <t>Text focus</t>
        </is>
      </c>
      <c r="H47" s="29" t="inlineStr">
        <is>
          <t>src/dev/gizmo/input.rs</t>
        </is>
      </c>
      <c r="I47" s="29" t="inlineStr">
        <is>
          <t>Scale only — not catalog search or repeat mode</t>
        </is>
      </c>
    </row>
    <row r="48">
      <c r="A48" s="29" t="inlineStr">
        <is>
          <t>Dev Mode</t>
        </is>
      </c>
      <c r="B48" s="29" t="inlineStr">
        <is>
          <t>Transform Gizmo</t>
        </is>
      </c>
      <c r="C48" s="29" t="inlineStr">
        <is>
          <t>L</t>
        </is>
      </c>
      <c r="D48" s="29" t="inlineStr"/>
      <c r="E48" s="29" t="inlineStr">
        <is>
          <t>Toggle world/local coordinate space</t>
        </is>
      </c>
      <c r="F48" s="29" t="inlineStr">
        <is>
          <t>Gizmo dragging</t>
        </is>
      </c>
      <c r="G48" s="29" t="inlineStr"/>
      <c r="H48" s="29" t="inlineStr">
        <is>
          <t>src/dev/gizmo/input.rs</t>
        </is>
      </c>
      <c r="I48" s="29" t="inlineStr">
        <is>
          <t>L reused building door lock</t>
        </is>
      </c>
    </row>
    <row r="49">
      <c r="A49" s="29" t="inlineStr">
        <is>
          <t>Dev Mode</t>
        </is>
      </c>
      <c r="B49" s="29" t="inlineStr">
        <is>
          <t>Transform Gizmo</t>
        </is>
      </c>
      <c r="C49" s="29" t="inlineStr">
        <is>
          <t>X / Y / Z</t>
        </is>
      </c>
      <c r="D49" s="29" t="inlineStr"/>
      <c r="E49" s="29" t="inlineStr">
        <is>
          <t>Axis constraint while dragging</t>
        </is>
      </c>
      <c r="F49" s="29" t="inlineStr">
        <is>
          <t>Gizmo drag active</t>
        </is>
      </c>
      <c r="G49" s="29" t="inlineStr"/>
      <c r="H49" s="29" t="inlineStr">
        <is>
          <t>src/dev/gizmo/input.rs</t>
        </is>
      </c>
      <c r="I49" s="29" t="inlineStr">
        <is>
          <t>X also building destroy in inspector</t>
        </is>
      </c>
    </row>
    <row r="50">
      <c r="A50" s="29" t="inlineStr">
        <is>
          <t>Dev Mode</t>
        </is>
      </c>
      <c r="B50" s="29" t="inlineStr">
        <is>
          <t>Transform Gizmo</t>
        </is>
      </c>
      <c r="C50" s="29" t="inlineStr">
        <is>
          <t>Esc</t>
        </is>
      </c>
      <c r="D50" s="29" t="inlineStr"/>
      <c r="E50" s="29" t="inlineStr">
        <is>
          <t>Cancel gizmo drag or exit transform mode</t>
        </is>
      </c>
      <c r="F50" s="29" t="inlineStr">
        <is>
          <t>Gizmo active</t>
        </is>
      </c>
      <c r="G50" s="29" t="inlineStr"/>
      <c r="H50" s="29" t="inlineStr">
        <is>
          <t>src/dev/gizmo/input.rs</t>
        </is>
      </c>
      <c r="I50" s="29" t="inlineStr"/>
    </row>
    <row r="51">
      <c r="A51" s="29" t="inlineStr">
        <is>
          <t>Dev Mode</t>
        </is>
      </c>
      <c r="B51" s="29" t="inlineStr">
        <is>
          <t>Transform Gizmo</t>
        </is>
      </c>
      <c r="C51" s="29" t="inlineStr">
        <is>
          <t>G (hold)</t>
        </is>
      </c>
      <c r="D51" s="29" t="inlineStr">
        <is>
          <t>Hold</t>
        </is>
      </c>
      <c r="E51" s="29" t="inlineStr">
        <is>
          <t>Follow ground on commit</t>
        </is>
      </c>
      <c r="F51" s="29" t="inlineStr">
        <is>
          <t>Committing transform</t>
        </is>
      </c>
      <c r="G51" s="29" t="inlineStr"/>
      <c r="H51" s="29" t="inlineStr">
        <is>
          <t>src/dev/gizmo/commit.rs</t>
        </is>
      </c>
      <c r="I51" s="29" t="inlineStr">
        <is>
          <t>G reused many dev actions</t>
        </is>
      </c>
    </row>
    <row r="52">
      <c r="A52" s="29" t="inlineStr">
        <is>
          <t>Dev Mode</t>
        </is>
      </c>
      <c r="B52" s="29" t="inlineStr">
        <is>
          <t>Transform Gizmo</t>
        </is>
      </c>
      <c r="C52" s="29" t="inlineStr">
        <is>
          <t>O (hold)</t>
        </is>
      </c>
      <c r="D52" s="29" t="inlineStr">
        <is>
          <t>Hold</t>
        </is>
      </c>
      <c r="E52" s="29" t="inlineStr">
        <is>
          <t>Allow overlap on commit</t>
        </is>
      </c>
      <c r="F52" s="29" t="inlineStr">
        <is>
          <t>Committing doodad/building transform</t>
        </is>
      </c>
      <c r="G52" s="29" t="inlineStr"/>
      <c r="H52" s="29" t="inlineStr">
        <is>
          <t>src/dev/gizmo/commit.rs</t>
        </is>
      </c>
      <c r="I52" s="29" t="inlineStr"/>
    </row>
    <row r="53">
      <c r="A53" s="29" t="inlineStr">
        <is>
          <t>Dev Mode</t>
        </is>
      </c>
      <c r="B53" s="29" t="inlineStr">
        <is>
          <t>Transform Gizmo</t>
        </is>
      </c>
      <c r="C53" s="29" t="inlineStr">
        <is>
          <t>C (hold)</t>
        </is>
      </c>
      <c r="D53" s="29" t="inlineStr">
        <is>
          <t>Hold</t>
        </is>
      </c>
      <c r="E53" s="29" t="inlineStr">
        <is>
          <t>Cancel building task dependencies on commit</t>
        </is>
      </c>
      <c r="F53" s="29" t="inlineStr">
        <is>
          <t>Building gizmo commit</t>
        </is>
      </c>
      <c r="G53" s="29" t="inlineStr"/>
      <c r="H53" s="29" t="inlineStr">
        <is>
          <t>src/dev/gizmo/commit.rs</t>
        </is>
      </c>
      <c r="I53" s="29" t="inlineStr"/>
    </row>
    <row r="54">
      <c r="A54" s="29" t="inlineStr">
        <is>
          <t>Dev Mode</t>
        </is>
      </c>
      <c r="B54" s="29" t="inlineStr">
        <is>
          <t>Inspector — Doodad</t>
        </is>
      </c>
      <c r="C54" s="29" t="inlineStr">
        <is>
          <t>Arrow keys</t>
        </is>
      </c>
      <c r="D54" s="29" t="inlineStr"/>
      <c r="E54" s="29" t="inlineStr">
        <is>
          <t>Move doodad X/Z</t>
        </is>
      </c>
      <c r="F54" s="29" t="inlineStr">
        <is>
          <t>Doodad selected; dev inspector shortcuts</t>
        </is>
      </c>
      <c r="G54" s="29" t="inlineStr">
        <is>
          <t>Text focus</t>
        </is>
      </c>
      <c r="H54" s="29" t="inlineStr">
        <is>
          <t>src/dev/inspector/doodad_actions.rs</t>
        </is>
      </c>
      <c r="I54" s="29" t="inlineStr"/>
    </row>
    <row r="55">
      <c r="A55" s="29" t="inlineStr">
        <is>
          <t>Dev Mode</t>
        </is>
      </c>
      <c r="B55" s="29" t="inlineStr">
        <is>
          <t>Inspector — Doodad</t>
        </is>
      </c>
      <c r="C55" s="29" t="inlineStr">
        <is>
          <t>Page Up / Down</t>
        </is>
      </c>
      <c r="D55" s="29" t="inlineStr"/>
      <c r="E55" s="29" t="inlineStr">
        <is>
          <t>Move doodad Y</t>
        </is>
      </c>
      <c r="F55" s="29" t="inlineStr">
        <is>
          <t>Doodad selected</t>
        </is>
      </c>
      <c r="G55" s="29" t="inlineStr"/>
      <c r="H55" s="29" t="inlineStr">
        <is>
          <t>src/dev/inspector/doodad_actions.rs</t>
        </is>
      </c>
      <c r="I55" s="29" t="inlineStr"/>
    </row>
    <row r="56">
      <c r="A56" s="29" t="inlineStr">
        <is>
          <t>Dev Mode</t>
        </is>
      </c>
      <c r="B56" s="29" t="inlineStr">
        <is>
          <t>Inspector — Doodad</t>
        </is>
      </c>
      <c r="C56" s="29" t="inlineStr">
        <is>
          <t>[ / ]</t>
        </is>
      </c>
      <c r="D56" s="29" t="inlineStr"/>
      <c r="E56" s="29" t="inlineStr">
        <is>
          <t>Adjust doodad yaw ±5°</t>
        </is>
      </c>
      <c r="F56" s="29" t="inlineStr">
        <is>
          <t>Doodad selected</t>
        </is>
      </c>
      <c r="G56" s="29" t="inlineStr"/>
      <c r="H56" s="29" t="inlineStr">
        <is>
          <t>src/dev/inspector/doodad_actions.rs</t>
        </is>
      </c>
      <c r="I56" s="29" t="inlineStr">
        <is>
          <t>Bracket keys reused elsewhere</t>
        </is>
      </c>
    </row>
    <row r="57">
      <c r="A57" s="29" t="inlineStr">
        <is>
          <t>Dev Mode</t>
        </is>
      </c>
      <c r="B57" s="29" t="inlineStr">
        <is>
          <t>Inspector — Doodad</t>
        </is>
      </c>
      <c r="C57" s="29" t="inlineStr">
        <is>
          <t>G (hold)</t>
        </is>
      </c>
      <c r="D57" s="29" t="inlineStr">
        <is>
          <t>Hold</t>
        </is>
      </c>
      <c r="E57" s="29" t="inlineStr">
        <is>
          <t>Follow ground on transform</t>
        </is>
      </c>
      <c r="F57" s="29" t="inlineStr">
        <is>
          <t>While applying doodad edit</t>
        </is>
      </c>
      <c r="G57" s="29" t="inlineStr"/>
      <c r="H57" s="29" t="inlineStr">
        <is>
          <t>src/dev/inspector/doodad_actions.rs</t>
        </is>
      </c>
      <c r="I57" s="29" t="inlineStr"/>
    </row>
    <row r="58">
      <c r="A58" s="29" t="inlineStr">
        <is>
          <t>Dev Mode</t>
        </is>
      </c>
      <c r="B58" s="29" t="inlineStr">
        <is>
          <t>Inspector — Doodad</t>
        </is>
      </c>
      <c r="C58" s="29" t="inlineStr">
        <is>
          <t>O (hold)</t>
        </is>
      </c>
      <c r="D58" s="29" t="inlineStr">
        <is>
          <t>Hold</t>
        </is>
      </c>
      <c r="E58" s="29" t="inlineStr">
        <is>
          <t>Allow overlapping occupancy</t>
        </is>
      </c>
      <c r="F58" s="29" t="inlineStr">
        <is>
          <t>While applying doodad edit</t>
        </is>
      </c>
      <c r="G58" s="29" t="inlineStr"/>
      <c r="H58" s="29" t="inlineStr">
        <is>
          <t>src/dev/inspector/doodad_actions.rs</t>
        </is>
      </c>
      <c r="I58" s="29" t="inlineStr"/>
    </row>
    <row r="59">
      <c r="A59" s="29" t="inlineStr">
        <is>
          <t>Dev Mode</t>
        </is>
      </c>
      <c r="B59" s="29" t="inlineStr">
        <is>
          <t>Inspector — Building</t>
        </is>
      </c>
      <c r="C59" s="29" t="inlineStr">
        <is>
          <t>D</t>
        </is>
      </c>
      <c r="D59" s="29" t="inlineStr"/>
      <c r="E59" s="29" t="inlineStr">
        <is>
          <t>Damage building (−50)</t>
        </is>
      </c>
      <c r="F59" s="29" t="inlineStr">
        <is>
          <t>Building selected; dev inspector actions</t>
        </is>
      </c>
      <c r="G59" s="29" t="inlineStr">
        <is>
          <t>Text focus</t>
        </is>
      </c>
      <c r="H59" s="29" t="inlineStr">
        <is>
          <t>src/dev/inspector/building_actions.rs</t>
        </is>
      </c>
      <c r="I59" s="29" t="inlineStr"/>
    </row>
    <row r="60">
      <c r="A60" s="29" t="inlineStr">
        <is>
          <t>Dev Mode</t>
        </is>
      </c>
      <c r="B60" s="29" t="inlineStr">
        <is>
          <t>Inspector — Building</t>
        </is>
      </c>
      <c r="C60" s="29" t="inlineStr">
        <is>
          <t>H</t>
        </is>
      </c>
      <c r="D60" s="29" t="inlineStr"/>
      <c r="E60" s="29" t="inlineStr">
        <is>
          <t>Heal building (+50)</t>
        </is>
      </c>
      <c r="F60" s="29" t="inlineStr">
        <is>
          <t>Building selected</t>
        </is>
      </c>
      <c r="G60" s="29" t="inlineStr"/>
      <c r="H60" s="29" t="inlineStr">
        <is>
          <t>src/dev/inspector/building_actions.rs</t>
        </is>
      </c>
      <c r="I60" s="29" t="inlineStr">
        <is>
          <t>H reused Items subtab</t>
        </is>
      </c>
    </row>
    <row r="61">
      <c r="A61" s="29" t="inlineStr">
        <is>
          <t>Dev Mode</t>
        </is>
      </c>
      <c r="B61" s="29" t="inlineStr">
        <is>
          <t>Inspector — Building</t>
        </is>
      </c>
      <c r="C61" s="29" t="inlineStr">
        <is>
          <t>X</t>
        </is>
      </c>
      <c r="D61" s="29" t="inlineStr"/>
      <c r="E61" s="29" t="inlineStr">
        <is>
          <t>Destroy building</t>
        </is>
      </c>
      <c r="F61" s="29" t="inlineStr">
        <is>
          <t>Building selected</t>
        </is>
      </c>
      <c r="G61" s="29" t="inlineStr"/>
      <c r="H61" s="29" t="inlineStr">
        <is>
          <t>src/dev/inspector/building_actions.rs</t>
        </is>
      </c>
      <c r="I61" s="29" t="inlineStr"/>
    </row>
    <row r="62">
      <c r="A62" s="29" t="inlineStr">
        <is>
          <t>Dev Mode</t>
        </is>
      </c>
      <c r="B62" s="29" t="inlineStr">
        <is>
          <t>Inspector — Building</t>
        </is>
      </c>
      <c r="C62" s="29" t="inlineStr">
        <is>
          <t>R</t>
        </is>
      </c>
      <c r="D62" s="29" t="inlineStr"/>
      <c r="E62" s="29" t="inlineStr">
        <is>
          <t>Set building to ruins</t>
        </is>
      </c>
      <c r="F62" s="29" t="inlineStr">
        <is>
          <t>Building selected</t>
        </is>
      </c>
      <c r="G62" s="29" t="inlineStr"/>
      <c r="H62" s="29" t="inlineStr">
        <is>
          <t>src/dev/inspector/building_actions.rs</t>
        </is>
      </c>
      <c r="I62" s="29" t="inlineStr">
        <is>
          <t>Conflicts with build-mode rotate when both active</t>
        </is>
      </c>
    </row>
    <row r="63">
      <c r="A63" s="29" t="inlineStr">
        <is>
          <t>Dev Mode</t>
        </is>
      </c>
      <c r="B63" s="29" t="inlineStr">
        <is>
          <t>Inspector — Building</t>
        </is>
      </c>
      <c r="C63" s="29" t="inlineStr">
        <is>
          <t>C</t>
        </is>
      </c>
      <c r="D63" s="29" t="inlineStr"/>
      <c r="E63" s="29" t="inlineStr">
        <is>
          <t>Complete building (lifecycle)</t>
        </is>
      </c>
      <c r="F63" s="29" t="inlineStr">
        <is>
          <t>Building selected</t>
        </is>
      </c>
      <c r="G63" s="29" t="inlineStr"/>
      <c r="H63" s="29" t="inlineStr">
        <is>
          <t>src/dev/inspector/building_actions.rs</t>
        </is>
      </c>
      <c r="I63" s="29" t="inlineStr"/>
    </row>
    <row r="64">
      <c r="A64" s="29" t="inlineStr">
        <is>
          <t>Dev Mode</t>
        </is>
      </c>
      <c r="B64" s="29" t="inlineStr">
        <is>
          <t>Inspector — Building</t>
        </is>
      </c>
      <c r="C64" s="29" t="inlineStr">
        <is>
          <t>P</t>
        </is>
      </c>
      <c r="D64" s="29" t="inlineStr"/>
      <c r="E64" s="29" t="inlineStr">
        <is>
          <t>Add 10% construction progress</t>
        </is>
      </c>
      <c r="F64" s="29" t="inlineStr">
        <is>
          <t>Building selected</t>
        </is>
      </c>
      <c r="G64" s="29" t="inlineStr"/>
      <c r="H64" s="29" t="inlineStr">
        <is>
          <t>src/dev/inspector/building_actions.rs</t>
        </is>
      </c>
      <c r="I64" s="29" t="inlineStr">
        <is>
          <t>P reused Items profiles subtab</t>
        </is>
      </c>
    </row>
    <row r="65">
      <c r="A65" s="29" t="inlineStr">
        <is>
          <t>Dev Mode</t>
        </is>
      </c>
      <c r="B65" s="29" t="inlineStr">
        <is>
          <t>Inspector — Building</t>
        </is>
      </c>
      <c r="C65" s="29" t="inlineStr">
        <is>
          <t>Shift+P</t>
        </is>
      </c>
      <c r="D65" s="29" t="inlineStr">
        <is>
          <t>Shift</t>
        </is>
      </c>
      <c r="E65" s="29" t="inlineStr">
        <is>
          <t>Force settlement production replan</t>
        </is>
      </c>
      <c r="F65" s="29" t="inlineStr">
        <is>
          <t>Building linked to settlement</t>
        </is>
      </c>
      <c r="G65" s="29" t="inlineStr"/>
      <c r="H65" s="29" t="inlineStr">
        <is>
          <t>src/dev/inspector/building_actions.rs</t>
        </is>
      </c>
      <c r="I65" s="29" t="inlineStr"/>
    </row>
    <row r="66">
      <c r="A66" s="29" t="inlineStr">
        <is>
          <t>Dev Mode</t>
        </is>
      </c>
      <c r="B66" s="29" t="inlineStr">
        <is>
          <t>Inspector — Building</t>
        </is>
      </c>
      <c r="C66" s="29" t="inlineStr">
        <is>
          <t>O</t>
        </is>
      </c>
      <c r="D66" s="29" t="inlineStr"/>
      <c r="E66" s="29" t="inlineStr">
        <is>
          <t>Open first building door</t>
        </is>
      </c>
      <c r="F66" s="29" t="inlineStr">
        <is>
          <t>Building selected</t>
        </is>
      </c>
      <c r="G66" s="29" t="inlineStr"/>
      <c r="H66" s="29" t="inlineStr">
        <is>
          <t>src/dev/inspector/building_actions.rs</t>
        </is>
      </c>
      <c r="I66" s="29" t="inlineStr"/>
    </row>
    <row r="67">
      <c r="A67" s="29" t="inlineStr">
        <is>
          <t>Dev Mode</t>
        </is>
      </c>
      <c r="B67" s="29" t="inlineStr">
        <is>
          <t>Inspector — Building</t>
        </is>
      </c>
      <c r="C67" s="29" t="inlineStr">
        <is>
          <t>L</t>
        </is>
      </c>
      <c r="D67" s="29" t="inlineStr"/>
      <c r="E67" s="29" t="inlineStr">
        <is>
          <t>Lock first building door</t>
        </is>
      </c>
      <c r="F67" s="29" t="inlineStr">
        <is>
          <t>Building selected</t>
        </is>
      </c>
      <c r="G67" s="29" t="inlineStr"/>
      <c r="H67" s="29" t="inlineStr">
        <is>
          <t>src/dev/inspector/building_actions.rs</t>
        </is>
      </c>
      <c r="I67" s="29" t="inlineStr"/>
    </row>
    <row r="68">
      <c r="A68" s="29" t="inlineStr">
        <is>
          <t>Dev Mode</t>
        </is>
      </c>
      <c r="B68" s="29" t="inlineStr">
        <is>
          <t>Inspector — Building</t>
        </is>
      </c>
      <c r="C68" s="29" t="inlineStr">
        <is>
          <t>I</t>
        </is>
      </c>
      <c r="D68" s="29" t="inlineStr"/>
      <c r="E68" s="29" t="inlineStr">
        <is>
          <t>Log building inventory summary</t>
        </is>
      </c>
      <c r="F68" s="29" t="inlineStr">
        <is>
          <t>Building selected</t>
        </is>
      </c>
      <c r="G68" s="29" t="inlineStr"/>
      <c r="H68" s="29" t="inlineStr">
        <is>
          <t>src/dev/inspector/building_actions.rs</t>
        </is>
      </c>
      <c r="I68" s="29" t="inlineStr">
        <is>
          <t>Conflicts with gameplay inventory I</t>
        </is>
      </c>
    </row>
    <row r="69">
      <c r="A69" s="29" t="inlineStr">
        <is>
          <t>Dev Mode</t>
        </is>
      </c>
      <c r="B69" s="29" t="inlineStr">
        <is>
          <t>Inspector — Building</t>
        </is>
      </c>
      <c r="C69" s="29" t="inlineStr">
        <is>
          <t>G</t>
        </is>
      </c>
      <c r="D69" s="29" t="inlineStr"/>
      <c r="E69" s="29" t="inlineStr">
        <is>
          <t>Add 5 gold to building inventory</t>
        </is>
      </c>
      <c r="F69" s="29" t="inlineStr">
        <is>
          <t>Building selected</t>
        </is>
      </c>
      <c r="G69" s="29" t="inlineStr"/>
      <c r="H69" s="29" t="inlineStr">
        <is>
          <t>src/dev/inspector/building_actions.rs</t>
        </is>
      </c>
      <c r="I69" s="29" t="inlineStr"/>
    </row>
    <row r="70">
      <c r="A70" s="29" t="inlineStr">
        <is>
          <t>Dev Mode</t>
        </is>
      </c>
      <c r="B70" s="29" t="inlineStr">
        <is>
          <t>Inspector — Building</t>
        </is>
      </c>
      <c r="C70" s="29" t="inlineStr">
        <is>
          <t>T</t>
        </is>
      </c>
      <c r="D70" s="29" t="inlineStr"/>
      <c r="E70" s="29" t="inlineStr">
        <is>
          <t>Transfer item between selected unit and building</t>
        </is>
      </c>
      <c r="F70" s="29" t="inlineStr">
        <is>
          <t>Unit + building with inventories</t>
        </is>
      </c>
      <c r="G70" s="29" t="inlineStr"/>
      <c r="H70" s="29" t="inlineStr">
        <is>
          <t>src/dev/inspector/building_actions.rs</t>
        </is>
      </c>
      <c r="I70" s="29" t="inlineStr"/>
    </row>
    <row r="71">
      <c r="A71" s="29" t="inlineStr">
        <is>
          <t>Dev Mode</t>
        </is>
      </c>
      <c r="B71" s="29" t="inlineStr">
        <is>
          <t>Inspector — Building</t>
        </is>
      </c>
      <c r="C71" s="29" t="inlineStr">
        <is>
          <t>U</t>
        </is>
      </c>
      <c r="D71" s="29" t="inlineStr"/>
      <c r="E71" s="29" t="inlineStr">
        <is>
          <t>Toggle building container locked</t>
        </is>
      </c>
      <c r="F71" s="29" t="inlineStr">
        <is>
          <t>Building selected</t>
        </is>
      </c>
      <c r="G71" s="29" t="inlineStr"/>
      <c r="H71" s="29" t="inlineStr">
        <is>
          <t>src/dev/inspector/building_actions.rs</t>
        </is>
      </c>
      <c r="I71" s="29" t="inlineStr"/>
    </row>
    <row r="72">
      <c r="A72" s="29" t="inlineStr">
        <is>
          <t>Dev Mode</t>
        </is>
      </c>
      <c r="B72" s="29" t="inlineStr">
        <is>
          <t>Inspector — Building</t>
        </is>
      </c>
      <c r="C72" s="29" t="inlineStr">
        <is>
          <t>V</t>
        </is>
      </c>
      <c r="D72" s="29" t="inlineStr"/>
      <c r="E72" s="29" t="inlineStr">
        <is>
          <t>Validate building inventory links</t>
        </is>
      </c>
      <c r="F72" s="29" t="inlineStr">
        <is>
          <t>Building selected</t>
        </is>
      </c>
      <c r="G72" s="29" t="inlineStr"/>
      <c r="H72" s="29" t="inlineStr">
        <is>
          <t>src/dev/inspector/building_actions.rs</t>
        </is>
      </c>
      <c r="I72" s="29" t="inlineStr"/>
    </row>
    <row r="73">
      <c r="A73" s="29" t="inlineStr">
        <is>
          <t>Dev Mode</t>
        </is>
      </c>
      <c r="B73" s="29" t="inlineStr">
        <is>
          <t>Inspector — Building</t>
        </is>
      </c>
      <c r="C73" s="29" t="inlineStr">
        <is>
          <t>F</t>
        </is>
      </c>
      <c r="D73" s="29" t="inlineStr"/>
      <c r="E73" s="29" t="inlineStr">
        <is>
          <t>Refresh building terrain assessment</t>
        </is>
      </c>
      <c r="F73" s="29" t="inlineStr">
        <is>
          <t>Building selected</t>
        </is>
      </c>
      <c r="G73" s="29" t="inlineStr"/>
      <c r="H73" s="29" t="inlineStr">
        <is>
          <t>src/dev/inspector/building_actions.rs</t>
        </is>
      </c>
      <c r="I73" s="29" t="inlineStr"/>
    </row>
    <row r="74">
      <c r="A74" s="29" t="inlineStr">
        <is>
          <t>Dev Mode</t>
        </is>
      </c>
      <c r="B74" s="29" t="inlineStr">
        <is>
          <t>Inspector — Building</t>
        </is>
      </c>
      <c r="C74" s="29" t="inlineStr">
        <is>
          <t>,</t>
        </is>
      </c>
      <c r="D74" s="29" t="inlineStr"/>
      <c r="E74" s="29" t="inlineStr">
        <is>
          <t>Toggle production enabled</t>
        </is>
      </c>
      <c r="F74" s="29" t="inlineStr">
        <is>
          <t>Building selected</t>
        </is>
      </c>
      <c r="G74" s="29" t="inlineStr"/>
      <c r="H74" s="29" t="inlineStr">
        <is>
          <t>src/dev/inspector/building_actions.rs</t>
        </is>
      </c>
      <c r="I74" s="29" t="inlineStr">
        <is>
          <t>Conflicts with gizmo translate</t>
        </is>
      </c>
    </row>
    <row r="75">
      <c r="A75" s="29" t="inlineStr">
        <is>
          <t>Dev Mode</t>
        </is>
      </c>
      <c r="B75" s="29" t="inlineStr">
        <is>
          <t>Inspector — Building</t>
        </is>
      </c>
      <c r="C75" s="29" t="inlineStr">
        <is>
          <t>.</t>
        </is>
      </c>
      <c r="D75" s="29" t="inlineStr"/>
      <c r="E75" s="29" t="inlineStr">
        <is>
          <t>Toggle production paused</t>
        </is>
      </c>
      <c r="F75" s="29" t="inlineStr">
        <is>
          <t>Building selected</t>
        </is>
      </c>
      <c r="G75" s="29" t="inlineStr"/>
      <c r="H75" s="29" t="inlineStr">
        <is>
          <t>src/dev/inspector/building_actions.rs</t>
        </is>
      </c>
      <c r="I75" s="29" t="inlineStr">
        <is>
          <t>Conflicts with gizmo rotate</t>
        </is>
      </c>
    </row>
    <row r="76">
      <c r="A76" s="29" t="inlineStr">
        <is>
          <t>Dev Mode</t>
        </is>
      </c>
      <c r="B76" s="29" t="inlineStr">
        <is>
          <t>Inspector — Building</t>
        </is>
      </c>
      <c r="C76" s="29" t="inlineStr">
        <is>
          <t>]</t>
        </is>
      </c>
      <c r="D76" s="29" t="inlineStr"/>
      <c r="E76" s="29" t="inlineStr">
        <is>
          <t>Reset production progress</t>
        </is>
      </c>
      <c r="F76" s="29" t="inlineStr">
        <is>
          <t>Building selected; blueprint inspection inactive</t>
        </is>
      </c>
      <c r="G76" s="29" t="inlineStr"/>
      <c r="H76" s="29" t="inlineStr">
        <is>
          <t>src/dev/inspector/building_actions.rs</t>
        </is>
      </c>
      <c r="I76" s="29" t="inlineStr"/>
    </row>
    <row r="77">
      <c r="A77" s="29" t="inlineStr">
        <is>
          <t>Dev Mode</t>
        </is>
      </c>
      <c r="B77" s="29" t="inlineStr">
        <is>
          <t>Inspector — Building</t>
        </is>
      </c>
      <c r="C77" s="29" t="inlineStr">
        <is>
          <t>`</t>
        </is>
      </c>
      <c r="D77" s="29" t="inlineStr"/>
      <c r="E77" s="29" t="inlineStr">
        <is>
          <t>Toggle production advanced panel</t>
        </is>
      </c>
      <c r="F77" s="29" t="inlineStr">
        <is>
          <t>Building selected</t>
        </is>
      </c>
      <c r="G77" s="29" t="inlineStr"/>
      <c r="H77" s="29" t="inlineStr">
        <is>
          <t>src/dev/inspector/building_actions.rs</t>
        </is>
      </c>
      <c r="I77" s="29" t="inlineStr"/>
    </row>
    <row r="78">
      <c r="A78" s="29" t="inlineStr">
        <is>
          <t>Dev Mode</t>
        </is>
      </c>
      <c r="B78" s="29" t="inlineStr">
        <is>
          <t>Inspector — Building</t>
        </is>
      </c>
      <c r="C78" s="29" t="inlineStr">
        <is>
          <t>\</t>
        </is>
      </c>
      <c r="D78" s="29" t="inlineStr"/>
      <c r="E78" s="29" t="inlineStr">
        <is>
          <t>Validate production runtime</t>
        </is>
      </c>
      <c r="F78" s="29" t="inlineStr">
        <is>
          <t>Building selected</t>
        </is>
      </c>
      <c r="G78" s="29" t="inlineStr"/>
      <c r="H78" s="29" t="inlineStr">
        <is>
          <t>src/dev/inspector/building_actions.rs</t>
        </is>
      </c>
      <c r="I78" s="29" t="inlineStr"/>
    </row>
    <row r="79">
      <c r="A79" s="29" t="inlineStr">
        <is>
          <t>Dev Mode</t>
        </is>
      </c>
      <c r="B79" s="29" t="inlineStr">
        <is>
          <t>Inspector — Building</t>
        </is>
      </c>
      <c r="C79" s="29" t="inlineStr">
        <is>
          <t>'</t>
        </is>
      </c>
      <c r="D79" s="29" t="inlineStr"/>
      <c r="E79" s="29" t="inlineStr">
        <is>
          <t>Cycle production operation (forward)</t>
        </is>
      </c>
      <c r="F79" s="29" t="inlineStr">
        <is>
          <t>Building selected</t>
        </is>
      </c>
      <c r="G79" s="29" t="inlineStr"/>
      <c r="H79" s="29" t="inlineStr">
        <is>
          <t>src/dev/inspector/building_actions.rs</t>
        </is>
      </c>
      <c r="I79" s="29" t="inlineStr"/>
    </row>
    <row r="80">
      <c r="A80" s="29" t="inlineStr">
        <is>
          <t>Dev Mode</t>
        </is>
      </c>
      <c r="B80" s="29" t="inlineStr">
        <is>
          <t>Inspector — Building</t>
        </is>
      </c>
      <c r="C80" s="29" t="inlineStr">
        <is>
          <t>;</t>
        </is>
      </c>
      <c r="D80" s="29" t="inlineStr"/>
      <c r="E80" s="29" t="inlineStr">
        <is>
          <t>Cycle production operation (backward)</t>
        </is>
      </c>
      <c r="F80" s="29" t="inlineStr">
        <is>
          <t>Building selected</t>
        </is>
      </c>
      <c r="G80" s="29" t="inlineStr"/>
      <c r="H80" s="29" t="inlineStr">
        <is>
          <t>src/dev/inspector/building_actions.rs</t>
        </is>
      </c>
      <c r="I80" s="29" t="inlineStr"/>
    </row>
    <row r="81">
      <c r="A81" s="29" t="inlineStr">
        <is>
          <t>Dev Mode</t>
        </is>
      </c>
      <c r="B81" s="29" t="inlineStr">
        <is>
          <t>Inspector — Building</t>
        </is>
      </c>
      <c r="C81" s="29" t="inlineStr">
        <is>
          <t>M</t>
        </is>
      </c>
      <c r="D81" s="29" t="inlineStr"/>
      <c r="E81" s="29" t="inlineStr">
        <is>
          <t>Force-execute one production cycle</t>
        </is>
      </c>
      <c r="F81" s="29" t="inlineStr">
        <is>
          <t>Building selected</t>
        </is>
      </c>
      <c r="G81" s="29" t="inlineStr"/>
      <c r="H81" s="29" t="inlineStr">
        <is>
          <t>src/dev/inspector/building_actions.rs</t>
        </is>
      </c>
      <c r="I81" s="29" t="inlineStr"/>
    </row>
    <row r="82">
      <c r="A82" s="29" t="inlineStr">
        <is>
          <t>Dev Mode</t>
        </is>
      </c>
      <c r="B82" s="29" t="inlineStr">
        <is>
          <t>Inspector — Building</t>
        </is>
      </c>
      <c r="C82" s="29" t="inlineStr">
        <is>
          <t>K</t>
        </is>
      </c>
      <c r="D82" s="29" t="inlineStr"/>
      <c r="E82" s="29" t="inlineStr">
        <is>
          <t>Clear binding inventories</t>
        </is>
      </c>
      <c r="F82" s="29" t="inlineStr">
        <is>
          <t>Building selected</t>
        </is>
      </c>
      <c r="G82" s="29" t="inlineStr"/>
      <c r="H82" s="29" t="inlineStr">
        <is>
          <t>src/dev/inspector/building_actions.rs</t>
        </is>
      </c>
      <c r="I82" s="29" t="inlineStr"/>
    </row>
    <row r="83">
      <c r="A83" s="29" t="inlineStr">
        <is>
          <t>Dev Mode</t>
        </is>
      </c>
      <c r="B83" s="29" t="inlineStr">
        <is>
          <t>Inspector — Building</t>
        </is>
      </c>
      <c r="C83" s="29" t="inlineStr">
        <is>
          <t>Q</t>
        </is>
      </c>
      <c r="D83" s="29" t="inlineStr"/>
      <c r="E83" s="29" t="inlineStr">
        <is>
          <t>Spawn manual haul / cancel hauls / force-complete (modifiers)</t>
        </is>
      </c>
      <c r="F83" s="29" t="inlineStr">
        <is>
          <t>Building selected; Shift=cancel open; Ctrl=force complete</t>
        </is>
      </c>
      <c r="G83" s="29" t="inlineStr"/>
      <c r="H83" s="29" t="inlineStr">
        <is>
          <t>src/dev/inspector/building_actions.rs</t>
        </is>
      </c>
      <c r="I83" s="29" t="inlineStr"/>
    </row>
    <row r="84">
      <c r="A84" s="29" t="inlineStr">
        <is>
          <t>Dev Mode</t>
        </is>
      </c>
      <c r="B84" s="29" t="inlineStr">
        <is>
          <t>Inspector — Building</t>
        </is>
      </c>
      <c r="C84" s="29" t="inlineStr">
        <is>
          <t>(UI button)</t>
        </is>
      </c>
      <c r="D84" s="29" t="inlineStr">
        <is>
          <t>Mouse</t>
        </is>
      </c>
      <c r="E84" s="29" t="inlineStr">
        <is>
          <t>Cycle production repeat mode</t>
        </is>
      </c>
      <c r="F84" s="29" t="inlineStr">
        <is>
          <t>Building selected; Inspector tab</t>
        </is>
      </c>
      <c r="G84" s="29" t="inlineStr"/>
      <c r="H84" s="29" t="inlineStr">
        <is>
          <t>src/dev/inspector/building_actions.rs</t>
        </is>
      </c>
      <c r="I84" s="29" t="inlineStr">
        <is>
          <t>Formerly / — now UI only</t>
        </is>
      </c>
    </row>
    <row r="85">
      <c r="A85" s="29" t="inlineStr">
        <is>
          <t>Dev Mode</t>
        </is>
      </c>
      <c r="B85" s="29" t="inlineStr">
        <is>
          <t>Blueprint Inspection</t>
        </is>
      </c>
      <c r="C85" s="29" t="inlineStr">
        <is>
          <t>N</t>
        </is>
      </c>
      <c r="D85" s="29" t="inlineStr"/>
      <c r="E85" s="29" t="inlineStr">
        <is>
          <t>Enter blueprint inspection mode</t>
        </is>
      </c>
      <c r="F85" s="29" t="inlineStr">
        <is>
          <t>Building selected; not already inspecting</t>
        </is>
      </c>
      <c r="G85" s="29" t="inlineStr"/>
      <c r="H85" s="29" t="inlineStr">
        <is>
          <t>src/dev/inspector/blueprint_inspection.rs</t>
        </is>
      </c>
      <c r="I85" s="29" t="inlineStr"/>
    </row>
    <row r="86">
      <c r="A86" s="29" t="inlineStr">
        <is>
          <t>Dev Mode</t>
        </is>
      </c>
      <c r="B86" s="29" t="inlineStr">
        <is>
          <t>Blueprint Inspection</t>
        </is>
      </c>
      <c r="C86" s="29" t="inlineStr">
        <is>
          <t>Esc</t>
        </is>
      </c>
      <c r="D86" s="29" t="inlineStr"/>
      <c r="E86" s="29" t="inlineStr">
        <is>
          <t>Exit blueprint inspection</t>
        </is>
      </c>
      <c r="F86" s="29" t="inlineStr">
        <is>
          <t>Inspection active; not editing</t>
        </is>
      </c>
      <c r="G86" s="29" t="inlineStr"/>
      <c r="H86" s="29" t="inlineStr">
        <is>
          <t>src/dev/inspector/blueprint_inspection.rs</t>
        </is>
      </c>
      <c r="I86" s="29" t="inlineStr"/>
    </row>
    <row r="87">
      <c r="A87" s="29" t="inlineStr">
        <is>
          <t>Dev Mode</t>
        </is>
      </c>
      <c r="B87" s="29" t="inlineStr">
        <is>
          <t>Blueprint Inspection</t>
        </is>
      </c>
      <c r="C87" s="29" t="inlineStr">
        <is>
          <t>[ / ]</t>
        </is>
      </c>
      <c r="D87" s="29" t="inlineStr"/>
      <c r="E87" s="29" t="inlineStr">
        <is>
          <t>Previous / next floor</t>
        </is>
      </c>
      <c r="F87" s="29" t="inlineStr">
        <is>
          <t>Inspection active</t>
        </is>
      </c>
      <c r="G87" s="29" t="inlineStr"/>
      <c r="H87" s="29" t="inlineStr">
        <is>
          <t>src/dev/inspector/blueprint_inspection.rs</t>
        </is>
      </c>
      <c r="I87" s="29" t="inlineStr"/>
    </row>
    <row r="88">
      <c r="A88" s="29" t="inlineStr">
        <is>
          <t>Dev Mode</t>
        </is>
      </c>
      <c r="B88" s="29" t="inlineStr">
        <is>
          <t>Blueprint Inspection</t>
        </is>
      </c>
      <c r="C88" s="29" t="inlineStr">
        <is>
          <t>Shift+R</t>
        </is>
      </c>
      <c r="D88" s="29" t="inlineStr">
        <is>
          <t>Shift</t>
        </is>
      </c>
      <c r="E88" s="29" t="inlineStr">
        <is>
          <t>Regenerate blueprint from mesh</t>
        </is>
      </c>
      <c r="F88" s="29" t="inlineStr">
        <is>
          <t>Inspection active</t>
        </is>
      </c>
      <c r="G88" s="29" t="inlineStr"/>
      <c r="H88" s="29" t="inlineStr">
        <is>
          <t>src/dev/inspector/blueprint_inspection.rs</t>
        </is>
      </c>
      <c r="I88" s="29" t="inlineStr"/>
    </row>
    <row r="89">
      <c r="A89" s="29" t="inlineStr">
        <is>
          <t>Dev Mode</t>
        </is>
      </c>
      <c r="B89" s="29" t="inlineStr">
        <is>
          <t>Blueprint Inspection</t>
        </is>
      </c>
      <c r="C89" s="29" t="inlineStr">
        <is>
          <t>1–9</t>
        </is>
      </c>
      <c r="D89" s="29" t="inlineStr"/>
      <c r="E89" s="29" t="inlineStr">
        <is>
          <t>Focus validation diagnostic N</t>
        </is>
      </c>
      <c r="F89" s="29" t="inlineStr">
        <is>
          <t>Inspection active</t>
        </is>
      </c>
      <c r="G89" s="29" t="inlineStr"/>
      <c r="H89" s="29" t="inlineStr">
        <is>
          <t>src/dev/inspector/blueprint_inspection.rs</t>
        </is>
      </c>
      <c r="I89" s="29" t="inlineStr">
        <is>
          <t>Conflicts with dev favorites when unfocused</t>
        </is>
      </c>
    </row>
    <row r="90">
      <c r="A90" s="29" t="inlineStr">
        <is>
          <t>Dev Mode</t>
        </is>
      </c>
      <c r="B90" s="29" t="inlineStr">
        <is>
          <t>Blueprint Inspection</t>
        </is>
      </c>
      <c r="C90" s="29" t="inlineStr">
        <is>
          <t>Enter / Esc</t>
        </is>
      </c>
      <c r="D90" s="29" t="inlineStr"/>
      <c r="E90" s="29" t="inlineStr">
        <is>
          <t>Confirm / cancel pending blueprint action</t>
        </is>
      </c>
      <c r="F90" s="29" t="inlineStr">
        <is>
          <t>Pending confirmation dialog</t>
        </is>
      </c>
      <c r="G90" s="29" t="inlineStr"/>
      <c r="H90" s="29" t="inlineStr">
        <is>
          <t>src/dev/inspector/blueprint_inspection.rs</t>
        </is>
      </c>
      <c r="I90" s="29" t="inlineStr"/>
    </row>
    <row r="91">
      <c r="A91" s="29" t="inlineStr">
        <is>
          <t>Dev Mode</t>
        </is>
      </c>
      <c r="B91" s="29" t="inlineStr">
        <is>
          <t>Blueprint Edit</t>
        </is>
      </c>
      <c r="C91" s="29" t="inlineStr">
        <is>
          <t>E</t>
        </is>
      </c>
      <c r="D91" s="29" t="inlineStr"/>
      <c r="E91" s="29" t="inlineStr">
        <is>
          <t>Enter blueprint edit mode</t>
        </is>
      </c>
      <c r="F91" s="29" t="inlineStr">
        <is>
          <t>Building selected; not editing</t>
        </is>
      </c>
      <c r="G91" s="29" t="inlineStr"/>
      <c r="H91" s="29" t="inlineStr">
        <is>
          <t>src/dev/inspector/blueprint_edit.rs</t>
        </is>
      </c>
      <c r="I91" s="29" t="inlineStr">
        <is>
          <t>Conflicts with dev enabled-only filter</t>
        </is>
      </c>
    </row>
    <row r="92">
      <c r="A92" s="29" t="inlineStr">
        <is>
          <t>Dev Mode</t>
        </is>
      </c>
      <c r="B92" s="29" t="inlineStr">
        <is>
          <t>Blueprint Edit</t>
        </is>
      </c>
      <c r="C92" s="29" t="inlineStr">
        <is>
          <t>Ctrl+S</t>
        </is>
      </c>
      <c r="D92" s="29" t="inlineStr">
        <is>
          <t>Ctrl</t>
        </is>
      </c>
      <c r="E92" s="29" t="inlineStr">
        <is>
          <t>Save instance blueprint override</t>
        </is>
      </c>
      <c r="F92" s="29" t="inlineStr">
        <is>
          <t>Edit mode</t>
        </is>
      </c>
      <c r="G92" s="29" t="inlineStr"/>
      <c r="H92" s="29" t="inlineStr">
        <is>
          <t>src/dev/inspector/blueprint_edit.rs</t>
        </is>
      </c>
      <c r="I92" s="29" t="inlineStr"/>
    </row>
    <row r="93">
      <c r="A93" s="29" t="inlineStr">
        <is>
          <t>Dev Mode</t>
        </is>
      </c>
      <c r="B93" s="29" t="inlineStr">
        <is>
          <t>Blueprint Edit</t>
        </is>
      </c>
      <c r="C93" s="29" t="inlineStr">
        <is>
          <t>Ctrl+Shift+S</t>
        </is>
      </c>
      <c r="D93" s="29" t="inlineStr">
        <is>
          <t>Ctrl+Shift</t>
        </is>
      </c>
      <c r="E93" s="29" t="inlineStr">
        <is>
          <t>Apply blueprint to asset default</t>
        </is>
      </c>
      <c r="F93" s="29" t="inlineStr">
        <is>
          <t>Edit mode</t>
        </is>
      </c>
      <c r="G93" s="29" t="inlineStr"/>
      <c r="H93" s="29" t="inlineStr">
        <is>
          <t>src/dev/inspector/blueprint_edit.rs</t>
        </is>
      </c>
      <c r="I93" s="29" t="inlineStr"/>
    </row>
    <row r="94">
      <c r="A94" s="29" t="inlineStr">
        <is>
          <t>Dev Mode</t>
        </is>
      </c>
      <c r="B94" s="29" t="inlineStr">
        <is>
          <t>Blueprint Edit</t>
        </is>
      </c>
      <c r="C94" s="29" t="inlineStr">
        <is>
          <t>Ctrl+Shift+V</t>
        </is>
      </c>
      <c r="D94" s="29" t="inlineStr">
        <is>
          <t>Ctrl+Shift</t>
        </is>
      </c>
      <c r="E94" s="29" t="inlineStr">
        <is>
          <t>Save as new building variant</t>
        </is>
      </c>
      <c r="F94" s="29" t="inlineStr">
        <is>
          <t>Edit mode</t>
        </is>
      </c>
      <c r="G94" s="29" t="inlineStr"/>
      <c r="H94" s="29" t="inlineStr">
        <is>
          <t>src/dev/inspector/blueprint_edit.rs</t>
        </is>
      </c>
      <c r="I94" s="29" t="inlineStr"/>
    </row>
    <row r="95">
      <c r="A95" s="29" t="inlineStr">
        <is>
          <t>Dev Mode</t>
        </is>
      </c>
      <c r="B95" s="29" t="inlineStr">
        <is>
          <t>Blueprint Edit</t>
        </is>
      </c>
      <c r="C95" s="29" t="inlineStr">
        <is>
          <t>Ctrl+Alt+R</t>
        </is>
      </c>
      <c r="D95" s="29" t="inlineStr">
        <is>
          <t>Ctrl+Alt</t>
        </is>
      </c>
      <c r="E95" s="29" t="inlineStr">
        <is>
          <t>Reset instance to asset/generated</t>
        </is>
      </c>
      <c r="F95" s="29" t="inlineStr">
        <is>
          <t>Edit mode</t>
        </is>
      </c>
      <c r="G95" s="29" t="inlineStr"/>
      <c r="H95" s="29" t="inlineStr">
        <is>
          <t>src/dev/inspector/blueprint_edit.rs</t>
        </is>
      </c>
      <c r="I95" s="29" t="inlineStr"/>
    </row>
    <row r="96">
      <c r="A96" s="29" t="inlineStr">
        <is>
          <t>Dev Mode</t>
        </is>
      </c>
      <c r="B96" s="29" t="inlineStr">
        <is>
          <t>Blueprint Edit</t>
        </is>
      </c>
      <c r="C96" s="29" t="inlineStr">
        <is>
          <t>1 / 2 / 3</t>
        </is>
      </c>
      <c r="D96" s="29" t="inlineStr"/>
      <c r="E96" s="29" t="inlineStr">
        <is>
          <t>Edit tool: select / add vertex / add entrance</t>
        </is>
      </c>
      <c r="F96" s="29" t="inlineStr">
        <is>
          <t>Edit mode</t>
        </is>
      </c>
      <c r="G96" s="29" t="inlineStr"/>
      <c r="H96" s="29" t="inlineStr">
        <is>
          <t>src/dev/inspector/blueprint_edit.rs</t>
        </is>
      </c>
      <c r="I96" s="29" t="inlineStr"/>
    </row>
    <row r="97">
      <c r="A97" s="29" t="inlineStr">
        <is>
          <t>Dev Mode</t>
        </is>
      </c>
      <c r="B97" s="29" t="inlineStr">
        <is>
          <t>Blueprint Edit</t>
        </is>
      </c>
      <c r="C97" s="29" t="inlineStr">
        <is>
          <t>Del / Backspace</t>
        </is>
      </c>
      <c r="D97" s="29" t="inlineStr"/>
      <c r="E97" s="29" t="inlineStr">
        <is>
          <t>Delete selected blueprint element</t>
        </is>
      </c>
      <c r="F97" s="29" t="inlineStr">
        <is>
          <t>Edit mode</t>
        </is>
      </c>
      <c r="G97" s="29" t="inlineStr"/>
      <c r="H97" s="29" t="inlineStr">
        <is>
          <t>src/dev/inspector/blueprint_edit.rs</t>
        </is>
      </c>
      <c r="I97" s="29" t="inlineStr"/>
    </row>
    <row r="98">
      <c r="A98" s="29" t="inlineStr">
        <is>
          <t>Dev Mode</t>
        </is>
      </c>
      <c r="B98" s="29" t="inlineStr">
        <is>
          <t>Blueprint Edit</t>
        </is>
      </c>
      <c r="C98" s="29" t="inlineStr">
        <is>
          <t>+ / -</t>
        </is>
      </c>
      <c r="D98" s="29" t="inlineStr"/>
      <c r="E98" s="29" t="inlineStr">
        <is>
          <t>Adjust entrance/transition radius</t>
        </is>
      </c>
      <c r="F98" s="29" t="inlineStr">
        <is>
          <t>Edit mode; element selected</t>
        </is>
      </c>
      <c r="G98" s="29" t="inlineStr"/>
      <c r="H98" s="29" t="inlineStr">
        <is>
          <t>src/dev/inspector/blueprint_edit.rs</t>
        </is>
      </c>
      <c r="I98" s="29" t="inlineStr"/>
    </row>
    <row r="99">
      <c r="A99" s="29" t="inlineStr">
        <is>
          <t>Dev Mode</t>
        </is>
      </c>
      <c r="B99" s="29" t="inlineStr">
        <is>
          <t>Items Tab</t>
        </is>
      </c>
      <c r="C99" s="29" t="inlineStr">
        <is>
          <t>I</t>
        </is>
      </c>
      <c r="D99" s="29" t="inlineStr"/>
      <c r="E99" s="29" t="inlineStr">
        <is>
          <t>Switch to Items subtab</t>
        </is>
      </c>
      <c r="F99" s="29" t="inlineStr">
        <is>
          <t>Items tab; dev on</t>
        </is>
      </c>
      <c r="G99" s="29" t="inlineStr">
        <is>
          <t>Text focus</t>
        </is>
      </c>
      <c r="H99" s="29" t="inlineStr">
        <is>
          <t>src/dev/inventory_tools/input.rs</t>
        </is>
      </c>
      <c r="I99" s="29" t="inlineStr"/>
    </row>
    <row r="100">
      <c r="A100" s="29" t="inlineStr">
        <is>
          <t>Dev Mode</t>
        </is>
      </c>
      <c r="B100" s="29" t="inlineStr">
        <is>
          <t>Items Tab</t>
        </is>
      </c>
      <c r="C100" s="29" t="inlineStr">
        <is>
          <t>P</t>
        </is>
      </c>
      <c r="D100" s="29" t="inlineStr"/>
      <c r="E100" s="29" t="inlineStr">
        <is>
          <t>Switch to Inventory Profiles subtab</t>
        </is>
      </c>
      <c r="F100" s="29" t="inlineStr">
        <is>
          <t>Items tab</t>
        </is>
      </c>
      <c r="G100" s="29" t="inlineStr"/>
      <c r="H100" s="29" t="inlineStr">
        <is>
          <t>src/dev/inventory_tools/input.rs</t>
        </is>
      </c>
      <c r="I100" s="29" t="inlineStr"/>
    </row>
    <row r="101">
      <c r="A101" s="29" t="inlineStr">
        <is>
          <t>Dev Mode</t>
        </is>
      </c>
      <c r="B101" s="29" t="inlineStr">
        <is>
          <t>Items Tab</t>
        </is>
      </c>
      <c r="C101" s="29" t="inlineStr">
        <is>
          <t>H</t>
        </is>
      </c>
      <c r="D101" s="29" t="inlineStr"/>
      <c r="E101" s="29" t="inlineStr">
        <is>
          <t>Switch to Inventory Manage subtab</t>
        </is>
      </c>
      <c r="F101" s="29" t="inlineStr">
        <is>
          <t>Items tab</t>
        </is>
      </c>
      <c r="G101" s="29" t="inlineStr"/>
      <c r="H101" s="29" t="inlineStr">
        <is>
          <t>src/dev/inventory_tools/input.rs</t>
        </is>
      </c>
      <c r="I101" s="29" t="inlineStr"/>
    </row>
    <row r="102">
      <c r="A102" s="29" t="inlineStr">
        <is>
          <t>Dev Mode</t>
        </is>
      </c>
      <c r="B102" s="29" t="inlineStr">
        <is>
          <t>Items — Manage</t>
        </is>
      </c>
      <c r="C102" s="29" t="inlineStr">
        <is>
          <t>[ / ]</t>
        </is>
      </c>
      <c r="D102" s="29" t="inlineStr"/>
      <c r="E102" s="29" t="inlineStr">
        <is>
          <t>Divide / multiply quantity by 10</t>
        </is>
      </c>
      <c r="F102" s="29" t="inlineStr">
        <is>
          <t>Manage subtab</t>
        </is>
      </c>
      <c r="G102" s="29" t="inlineStr"/>
      <c r="H102" s="29" t="inlineStr">
        <is>
          <t>src/dev/inventory_tools/input.rs</t>
        </is>
      </c>
      <c r="I102" s="29" t="inlineStr"/>
    </row>
    <row r="103">
      <c r="A103" s="29" t="inlineStr">
        <is>
          <t>Dev Mode</t>
        </is>
      </c>
      <c r="B103" s="29" t="inlineStr">
        <is>
          <t>Items — Manage</t>
        </is>
      </c>
      <c r="C103" s="29" t="inlineStr">
        <is>
          <t>+ / -</t>
        </is>
      </c>
      <c r="D103" s="29" t="inlineStr"/>
      <c r="E103" s="29" t="inlineStr">
        <is>
          <t>Increment / decrement quantity</t>
        </is>
      </c>
      <c r="F103" s="29" t="inlineStr">
        <is>
          <t>Manage subtab</t>
        </is>
      </c>
      <c r="G103" s="29" t="inlineStr"/>
      <c r="H103" s="29" t="inlineStr">
        <is>
          <t>src/dev/inventory_tools/input.rs</t>
        </is>
      </c>
      <c r="I103" s="29" t="inlineStr"/>
    </row>
    <row r="104">
      <c r="A104" s="29" t="inlineStr">
        <is>
          <t>Dev Mode</t>
        </is>
      </c>
      <c r="B104" s="29" t="inlineStr">
        <is>
          <t>Items — Manage</t>
        </is>
      </c>
      <c r="C104" s="29" t="inlineStr">
        <is>
          <t>T</t>
        </is>
      </c>
      <c r="D104" s="29" t="inlineStr"/>
      <c r="E104" s="29" t="inlineStr">
        <is>
          <t>Cycle inventory endpoint</t>
        </is>
      </c>
      <c r="F104" s="29" t="inlineStr">
        <is>
          <t>Manage subtab</t>
        </is>
      </c>
      <c r="G104" s="29" t="inlineStr"/>
      <c r="H104" s="29" t="inlineStr">
        <is>
          <t>src/dev/inventory_tools/input.rs</t>
        </is>
      </c>
      <c r="I104" s="29" t="inlineStr">
        <is>
          <t>Overrides spawn team T</t>
        </is>
      </c>
    </row>
    <row r="105">
      <c r="A105" s="29" t="inlineStr">
        <is>
          <t>Dev Mode</t>
        </is>
      </c>
      <c r="B105" s="29" t="inlineStr">
        <is>
          <t>Items — Manage</t>
        </is>
      </c>
      <c r="C105" s="29" t="inlineStr">
        <is>
          <t>Y</t>
        </is>
      </c>
      <c r="D105" s="29" t="inlineStr"/>
      <c r="E105" s="29" t="inlineStr">
        <is>
          <t>Cycle entry within endpoint</t>
        </is>
      </c>
      <c r="F105" s="29" t="inlineStr">
        <is>
          <t>Manage subtab</t>
        </is>
      </c>
      <c r="G105" s="29" t="inlineStr"/>
      <c r="H105" s="29" t="inlineStr">
        <is>
          <t>src/dev/inventory_tools/input.rs</t>
        </is>
      </c>
      <c r="I105" s="29" t="inlineStr"/>
    </row>
    <row r="106">
      <c r="A106" s="29" t="inlineStr">
        <is>
          <t>Dev Mode</t>
        </is>
      </c>
      <c r="B106" s="29" t="inlineStr">
        <is>
          <t>Items — Manage</t>
        </is>
      </c>
      <c r="C106" s="29" t="inlineStr">
        <is>
          <t>A / R / S / C / F / G / V</t>
        </is>
      </c>
      <c r="D106" s="29" t="inlineStr"/>
      <c r="E106" s="29" t="inlineStr">
        <is>
          <t>Add / remove / set qty / clear / fill / arm pile / validate</t>
        </is>
      </c>
      <c r="F106" s="29" t="inlineStr">
        <is>
          <t>Manage subtab; target selected in inspector</t>
        </is>
      </c>
      <c r="G106" s="29" t="inlineStr"/>
      <c r="H106" s="29" t="inlineStr">
        <is>
          <t>src/dev/inventory_tools/input.rs</t>
        </is>
      </c>
      <c r="I106" s="29" t="inlineStr">
        <is>
          <t>Letter keys reused across dev — context gated</t>
        </is>
      </c>
    </row>
    <row r="107">
      <c r="A107" s="29" t="inlineStr">
        <is>
          <t>Dev Mode</t>
        </is>
      </c>
      <c r="B107" s="29" t="inlineStr">
        <is>
          <t>Items — Harness</t>
        </is>
      </c>
      <c r="C107" s="29" t="inlineStr">
        <is>
          <t>N</t>
        </is>
      </c>
      <c r="D107" s="29" t="inlineStr"/>
      <c r="E107" s="29" t="inlineStr">
        <is>
          <t>New detached inventory</t>
        </is>
      </c>
      <c r="F107" s="29" t="inlineStr">
        <is>
          <t>Items tab → Inventory Harness subtab</t>
        </is>
      </c>
      <c r="G107" s="29" t="inlineStr"/>
      <c r="H107" s="29" t="inlineStr">
        <is>
          <t>src/dev/inventory_harness.rs</t>
        </is>
      </c>
      <c r="I107" s="29" t="inlineStr"/>
    </row>
    <row r="108">
      <c r="A108" s="29" t="inlineStr">
        <is>
          <t>Dev Mode</t>
        </is>
      </c>
      <c r="B108" s="29" t="inlineStr">
        <is>
          <t>Items — Harness</t>
        </is>
      </c>
      <c r="C108" s="29" t="inlineStr">
        <is>
          <t>Del / Backspace</t>
        </is>
      </c>
      <c r="D108" s="29" t="inlineStr"/>
      <c r="E108" s="29" t="inlineStr">
        <is>
          <t>Delete harness inventory</t>
        </is>
      </c>
      <c r="F108" s="29" t="inlineStr">
        <is>
          <t>Harness inventory active</t>
        </is>
      </c>
      <c r="G108" s="29" t="inlineStr"/>
      <c r="H108" s="29" t="inlineStr">
        <is>
          <t>src/dev/inventory_harness.rs</t>
        </is>
      </c>
      <c r="I108" s="29" t="inlineStr"/>
    </row>
    <row r="109">
      <c r="A109" s="29" t="inlineStr">
        <is>
          <t>Dev Mode</t>
        </is>
      </c>
      <c r="B109" s="29" t="inlineStr">
        <is>
          <t>Items — Harness</t>
        </is>
      </c>
      <c r="C109" s="29" t="inlineStr">
        <is>
          <t>A / U / O / V / H / M</t>
        </is>
      </c>
      <c r="D109" s="29" t="inlineStr"/>
      <c r="E109" s="29" t="inlineStr">
        <is>
          <t>Add stack / unique / auto-sort / validate / split half / merge</t>
        </is>
      </c>
      <c r="F109" s="29" t="inlineStr">
        <is>
          <t>Harness inventory active</t>
        </is>
      </c>
      <c r="G109" s="29" t="inlineStr"/>
      <c r="H109" s="29" t="inlineStr">
        <is>
          <t>src/dev/inventory_harness.rs</t>
        </is>
      </c>
      <c r="I109" s="29" t="inlineStr"/>
    </row>
    <row r="110">
      <c r="A110" s="29" t="inlineStr">
        <is>
          <t>Dev Mode</t>
        </is>
      </c>
      <c r="B110" s="29" t="inlineStr">
        <is>
          <t>World Tools — Piles</t>
        </is>
      </c>
      <c r="C110" s="29" t="inlineStr">
        <is>
          <t>V</t>
        </is>
      </c>
      <c r="D110" s="29" t="inlineStr"/>
      <c r="E110" s="29" t="inlineStr">
        <is>
          <t>Validate world inventory</t>
        </is>
      </c>
      <c r="F110" s="29" t="inlineStr">
        <is>
          <t>World Tools tab</t>
        </is>
      </c>
      <c r="G110" s="29" t="inlineStr"/>
      <c r="H110" s="29" t="inlineStr">
        <is>
          <t>src/dev/pile_harness.rs</t>
        </is>
      </c>
      <c r="I110" s="29" t="inlineStr"/>
    </row>
    <row r="111">
      <c r="A111" s="29" t="inlineStr">
        <is>
          <t>Dev Mode</t>
        </is>
      </c>
      <c r="B111" s="29" t="inlineStr">
        <is>
          <t>World Tools — Piles</t>
        </is>
      </c>
      <c r="C111" s="29" t="inlineStr">
        <is>
          <t>P / D / O / H / G / L</t>
        </is>
      </c>
      <c r="D111" s="29" t="inlineStr"/>
      <c r="E111" s="29" t="inlineStr">
        <is>
          <t>Spawn pile / drop entry / drop one / half / pickup / loot</t>
        </is>
      </c>
      <c r="F111" s="29" t="inlineStr">
        <is>
          <t>World Tools; unit selected</t>
        </is>
      </c>
      <c r="G111" s="29" t="inlineStr"/>
      <c r="H111" s="29" t="inlineStr">
        <is>
          <t>src/dev/pile_harness.rs</t>
        </is>
      </c>
      <c r="I111" s="29" t="inlineStr"/>
    </row>
    <row r="112">
      <c r="A112" s="29" t="inlineStr">
        <is>
          <t>Dev Mode</t>
        </is>
      </c>
      <c r="B112" s="29" t="inlineStr">
        <is>
          <t>World Tools — Treasury</t>
        </is>
      </c>
      <c r="C112" s="29" t="inlineStr">
        <is>
          <t>J / B / C / Y / E</t>
        </is>
      </c>
      <c r="D112" s="29" t="inlineStr"/>
      <c r="E112" s="29" t="inlineStr">
        <is>
          <t>Transaction log / wealth audit / create treasury / inspect / deposit</t>
        </is>
      </c>
      <c r="F112" s="29" t="inlineStr">
        <is>
          <t>World Tools; building selected (except J/B)</t>
        </is>
      </c>
      <c r="G112" s="29" t="inlineStr"/>
      <c r="H112" s="29" t="inlineStr">
        <is>
          <t>src/dev/treasury_harness.rs</t>
        </is>
      </c>
      <c r="I112" s="29" t="inlineStr"/>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8" min="1" max="1"/>
    <col width="45.140625" bestFit="1" customWidth="1" style="38" min="2" max="2"/>
    <col width="10.7109375" bestFit="1" customWidth="1" style="38" min="3" max="3"/>
    <col width="10.85546875" bestFit="1" customWidth="1" style="38" min="4" max="4"/>
    <col width="12.28515625" bestFit="1" customWidth="1" style="38" min="5" max="5"/>
    <col width="10.28515625" bestFit="1" customWidth="1" style="38" min="6" max="6"/>
    <col width="33.28515625" bestFit="1" customWidth="1" style="38"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8" min="1" max="1"/>
    <col width="19" customWidth="1" style="38" min="2" max="2"/>
    <col width="38.140625" customWidth="1" style="38"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8">
      <c r="A9" s="39"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T33"/>
  <sheetViews>
    <sheetView workbookViewId="0">
      <pane ySplit="1" topLeftCell="A2" activePane="bottomLeft" state="frozen"/>
      <selection activeCell="C28" sqref="C28"/>
      <selection pane="bottomLeft" activeCell="D38" sqref="D38"/>
    </sheetView>
  </sheetViews>
  <sheetFormatPr baseColWidth="8" defaultRowHeight="15"/>
  <cols>
    <col width="7.140625" bestFit="1" customWidth="1" style="38" min="1" max="1"/>
    <col width="14.42578125" customWidth="1" style="38" min="2" max="2"/>
    <col width="7.5703125" bestFit="1" customWidth="1" style="38" min="3" max="3"/>
    <col width="24.140625" customWidth="1" style="38" min="4" max="4"/>
    <col width="5.85546875" bestFit="1" customWidth="1" style="38" min="5" max="5"/>
    <col width="8.28515625" bestFit="1" customWidth="1" style="38" min="6" max="6"/>
    <col width="8.7109375" bestFit="1" customWidth="1" style="38" min="7" max="7"/>
    <col width="9.42578125" bestFit="1" customWidth="1" style="38" min="8" max="8"/>
    <col width="12.42578125" bestFit="1" customWidth="1" style="38" min="9" max="9"/>
    <col width="6.5703125" bestFit="1" customWidth="1" style="38" min="10" max="10"/>
    <col width="9.5703125" bestFit="1" customWidth="1" style="38" min="11" max="11"/>
    <col width="11.7109375" bestFit="1" customWidth="1" style="38" min="12" max="12"/>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9" t="inlineStr">
        <is>
          <t>Total Stats</t>
        </is>
      </c>
      <c r="N1" s="9" t="inlineStr">
        <is>
          <t>Power Rating</t>
        </is>
      </c>
      <c r="O1" s="9" t="inlineStr">
        <is>
          <t>Tier</t>
        </is>
      </c>
      <c r="P1" s="36" t="inlineStr">
        <is>
          <t>Move Speed</t>
        </is>
      </c>
      <c r="Q1" s="36" t="inlineStr">
        <is>
          <t>Collision Radius</t>
        </is>
      </c>
      <c r="R1" s="36" t="inlineStr">
        <is>
          <t>Max Slope</t>
        </is>
      </c>
      <c r="S1" t="inlineStr">
        <is>
          <t>Animation Profile</t>
        </is>
      </c>
      <c r="T1" s="36" t="inlineStr">
        <is>
          <t>Enabled</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1" t="inlineStr">
        <is>
          <t>Elite</t>
        </is>
      </c>
      <c r="P2" t="n">
        <v>9</v>
      </c>
      <c r="Q2" t="n">
        <v>0.68</v>
      </c>
      <c r="R2" t="n">
        <v>40</v>
      </c>
      <c r="T2" t="inlineStr">
        <is>
          <t>Y</t>
        </is>
      </c>
    </row>
    <row r="3">
      <c r="A3" s="1" t="inlineStr">
        <is>
          <t>U-0002</t>
        </is>
      </c>
      <c r="B3" t="inlineStr">
        <is>
          <t>Fox</t>
        </is>
      </c>
      <c r="C3" t="inlineStr">
        <is>
          <t>Player</t>
        </is>
      </c>
      <c r="D3" t="inlineStr">
        <is>
          <t>assets\units\fox.glb</t>
        </is>
      </c>
      <c r="E3" t="n">
        <v>1</v>
      </c>
      <c r="F3" t="n">
        <v>25</v>
      </c>
      <c r="G3" t="n">
        <v>4</v>
      </c>
      <c r="H3" t="n">
        <v>12</v>
      </c>
      <c r="I3" t="n">
        <v>6</v>
      </c>
      <c r="J3" t="n">
        <v>15</v>
      </c>
      <c r="K3" t="n">
        <v>8</v>
      </c>
      <c r="L3" t="n">
        <v>7</v>
      </c>
      <c r="M3">
        <f>SUM(G3:L3)</f>
        <v/>
      </c>
      <c r="N3" t="n">
        <v>70</v>
      </c>
      <c r="O3" s="11" t="inlineStr">
        <is>
          <t>Creep</t>
        </is>
      </c>
      <c r="P3" t="n">
        <v>14</v>
      </c>
      <c r="Q3" t="n">
        <v>1.25</v>
      </c>
      <c r="R3" t="n">
        <v>50</v>
      </c>
      <c r="S3" t="inlineStr">
        <is>
          <t>fox</t>
        </is>
      </c>
      <c r="T3" t="inlineStr">
        <is>
          <t>Y</t>
        </is>
      </c>
    </row>
    <row r="4">
      <c r="O4" s="11" t="n"/>
    </row>
    <row r="5">
      <c r="O5" s="11" t="n"/>
    </row>
    <row r="6">
      <c r="O6" s="11" t="n"/>
    </row>
    <row r="7">
      <c r="O7" s="11" t="n"/>
    </row>
    <row r="8">
      <c r="O8" s="11" t="n"/>
    </row>
    <row r="9">
      <c r="O9" s="11" t="n"/>
    </row>
    <row r="10">
      <c r="O10" s="11" t="n"/>
    </row>
    <row r="11">
      <c r="O11" s="11" t="n"/>
    </row>
    <row r="12">
      <c r="O12" s="11" t="n"/>
    </row>
    <row r="13">
      <c r="O13" s="11" t="n"/>
    </row>
    <row r="14">
      <c r="O14" s="11" t="n"/>
    </row>
    <row r="15">
      <c r="O15" s="11" t="n"/>
    </row>
    <row r="16">
      <c r="O16" s="11" t="n"/>
    </row>
    <row r="17">
      <c r="O17" s="11" t="n"/>
    </row>
    <row r="18">
      <c r="O18" s="11" t="n"/>
    </row>
    <row r="19">
      <c r="O19" s="11" t="n"/>
    </row>
    <row r="20">
      <c r="O20" s="11" t="n"/>
    </row>
    <row r="21">
      <c r="O21" s="11" t="n"/>
    </row>
    <row r="22">
      <c r="O22" s="11" t="n"/>
    </row>
    <row r="23">
      <c r="O23" s="11" t="n"/>
    </row>
    <row r="24">
      <c r="O24" s="11" t="n"/>
    </row>
    <row r="25">
      <c r="O25" s="11" t="n"/>
    </row>
    <row r="26">
      <c r="A26" s="10" t="n"/>
      <c r="B26" s="10" t="n"/>
      <c r="C26" s="10" t="n"/>
      <c r="D26" s="10" t="n"/>
      <c r="E26" s="10" t="n"/>
      <c r="F26" s="10" t="n"/>
      <c r="G26" s="10" t="n"/>
      <c r="H26" s="10" t="n"/>
      <c r="I26" s="10" t="n"/>
      <c r="J26" s="10" t="n"/>
      <c r="K26" s="10" t="n"/>
      <c r="L26" s="10" t="n"/>
      <c r="M26" s="10" t="n"/>
      <c r="N26" s="10" t="n"/>
      <c r="O26" s="12" t="n"/>
    </row>
    <row r="28" ht="15.75" customHeight="1" s="38">
      <c r="A28" s="7" t="inlineStr">
        <is>
          <t>UNIT STATISTICS</t>
        </is>
      </c>
    </row>
    <row r="29">
      <c r="A29" s="6" t="inlineStr">
        <is>
          <t>Total Units:</t>
        </is>
      </c>
      <c r="B29" s="27">
        <f>COUNTA(A2:A26)</f>
        <v/>
      </c>
      <c r="E29" s="6" t="inlineStr">
        <is>
          <t>Elite Units:</t>
        </is>
      </c>
      <c r="F29" s="28">
        <f>COUNTIF(O2:O26,"Elite")</f>
        <v/>
      </c>
    </row>
    <row r="30">
      <c r="A30" s="6" t="inlineStr">
        <is>
          <t>Avg Power Rating:</t>
        </is>
      </c>
      <c r="B30" s="27">
        <f>ROUND(AVERAGE(N2:N26),1)</f>
        <v/>
      </c>
      <c r="E30" s="6" t="inlineStr">
        <is>
          <t>Veteran Units:</t>
        </is>
      </c>
      <c r="F30" s="28">
        <f>COUNTIF(O2:O26,"Veteran")</f>
        <v/>
      </c>
    </row>
    <row r="31">
      <c r="A31" s="6" t="inlineStr">
        <is>
          <t>Strongest Unit:</t>
        </is>
      </c>
      <c r="B31" s="27">
        <f>INDEX(B2:B26,MATCH(MAX(N2:N26),N2:N26,0))</f>
        <v/>
      </c>
      <c r="E31" s="6" t="inlineStr">
        <is>
          <t>Regular Units:</t>
        </is>
      </c>
      <c r="F31" s="28">
        <f>COUNTIF(O2:O26,"Regular")</f>
        <v/>
      </c>
    </row>
    <row r="32">
      <c r="A32" s="6" t="inlineStr">
        <is>
          <t>Wild Units:</t>
        </is>
      </c>
      <c r="B32" s="27">
        <f>COUNTIF(C2:C26,"Wild")</f>
        <v/>
      </c>
      <c r="E32" s="6" t="inlineStr">
        <is>
          <t>Rookie Units:</t>
        </is>
      </c>
      <c r="F32" s="28">
        <f>COUNTIF(O2:O26,"Rookie")</f>
        <v/>
      </c>
    </row>
    <row r="33">
      <c r="A33" s="6" t="inlineStr">
        <is>
          <t>Bandit Units:</t>
        </is>
      </c>
      <c r="B33" s="27">
        <f>COUNTIF(C2:C26,"Bandits")</f>
        <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29" min="1" max="1"/>
    <col width="12.5703125" customWidth="1" style="38" min="2" max="2"/>
  </cols>
  <sheetData>
    <row r="1" ht="18" customHeight="1" s="38">
      <c r="A1" s="30" t="inlineStr">
        <is>
          <t>Chasma — Setting Summary</t>
        </is>
      </c>
    </row>
    <row r="3" ht="75" customHeight="1" s="38">
      <c r="A3" s="29"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8">
      <c r="A4" s="29" t="inlineStr">
        <is>
          <t>Today, the wreck remains the most valuable location on the planet. Every major civilization has a different vision for its future, creating a world of uneasy alliances, trade, proxy wars, and territorial conflict.</t>
        </is>
      </c>
    </row>
    <row r="6" ht="18" customHeight="1" s="38">
      <c r="A6" s="30" t="inlineStr">
        <is>
          <t>Humans</t>
        </is>
      </c>
    </row>
    <row r="8" ht="45" customHeight="1" s="38">
      <c r="A8" s="29" t="inlineStr">
        <is>
          <t>The most intelligent and adaptable race, but also the most fractured. Their greatest strength is their potential to recover and understand lost technology. Human factions compete among themselves over how the old world should be rebuilt.</t>
        </is>
      </c>
    </row>
    <row r="9">
      <c r="A9" s="31" t="inlineStr">
        <is>
          <t>Goal: Recover the past and reclaim humanity's lost future.</t>
        </is>
      </c>
    </row>
    <row r="11" ht="18" customHeight="1" s="38">
      <c r="A11" s="30" t="inlineStr">
        <is>
          <t>Y'aratan</t>
        </is>
      </c>
    </row>
    <row r="13" ht="60" customHeight="1" s="38">
      <c r="A13" s="29"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1" t="inlineStr">
        <is>
          <t>Goal: Determine what the Y'aratan will become.</t>
        </is>
      </c>
    </row>
    <row r="16" ht="18" customHeight="1" s="38">
      <c r="A16" s="30" t="inlineStr">
        <is>
          <t>Gra-Gu</t>
        </is>
      </c>
    </row>
    <row r="18" ht="60" customHeight="1" s="38">
      <c r="A18" s="29"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1" t="inlineStr">
        <is>
          <t>Goal: Ensure no one unleashes humanity's former power again.</t>
        </is>
      </c>
    </row>
    <row r="21" ht="18" customHeight="1" s="38">
      <c r="A21" s="30" t="inlineStr">
        <is>
          <t>Rhal</t>
        </is>
      </c>
    </row>
    <row r="23" ht="60" customHeight="1" s="38">
      <c r="A23" s="29"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1" t="inlineStr">
        <is>
          <t>Goal: Preserve movement, trade, and opportunity in a changing world.</t>
        </is>
      </c>
    </row>
    <row r="26" ht="18" customHeight="1" s="38">
      <c r="A26" s="30" t="inlineStr">
        <is>
          <t>Major Conflicts</t>
        </is>
      </c>
    </row>
    <row r="27">
      <c r="A27" s="32" t="n"/>
    </row>
    <row r="28">
      <c r="A28" s="33" t="inlineStr">
        <is>
          <t>Everyone vs The Wilds – The planet is filled with dangerous megafauna and untamed regions.</t>
        </is>
      </c>
    </row>
    <row r="29">
      <c r="A29" s="33" t="inlineStr">
        <is>
          <t>Y'aratan vs Y'aratan – Rival queens compete for territory, ideology, and the future of their species.</t>
        </is>
      </c>
    </row>
    <row r="30">
      <c r="A30" s="33" t="inlineStr">
        <is>
          <t>Humans vs Y'aratan – Conflict over land, resources, and access to technology.</t>
        </is>
      </c>
    </row>
    <row r="31">
      <c r="A31" s="33" t="inlineStr">
        <is>
          <t>Gra-Gu vs Y'aratan – A long-standing cold war born from an ancient conflict over mountain territory.</t>
        </is>
      </c>
    </row>
    <row r="32">
      <c r="A32" s="33" t="inlineStr">
        <is>
          <t>The Wreck – The central question of the setting:</t>
        </is>
      </c>
    </row>
    <row r="33">
      <c r="A33" s="32" t="inlineStr">
        <is>
          <t>Humans want to reclaim it.</t>
        </is>
      </c>
    </row>
    <row r="34">
      <c r="A34" s="32" t="inlineStr">
        <is>
          <t>Some Y'aratan want to exploit it.</t>
        </is>
      </c>
    </row>
    <row r="35">
      <c r="A35" s="32" t="inlineStr">
        <is>
          <t>Others want it sealed away.</t>
        </is>
      </c>
    </row>
    <row r="36">
      <c r="A36" s="32" t="inlineStr">
        <is>
          <t>The Gra-Gu want it destroyed.</t>
        </is>
      </c>
    </row>
    <row r="37">
      <c r="A37" s="32" t="inlineStr">
        <is>
          <t>The Rhal want access to the prosperity it could create.</t>
        </is>
      </c>
    </row>
    <row r="39">
      <c r="A39" s="29" t="inlineStr">
        <is>
          <t>At its heart, Chasma is a world arguing over what should be done with the remnants of a lost future.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26"/>
  <sheetViews>
    <sheetView workbookViewId="0">
      <selection activeCell="T7" sqref="T7"/>
    </sheetView>
  </sheetViews>
  <sheetFormatPr baseColWidth="8" defaultRowHeight="15"/>
  <sheetData>
    <row r="1" ht="15.75" customHeight="1" s="38" thickBot="1">
      <c r="A1" s="17" t="inlineStr">
        <is>
          <t>Item ID</t>
        </is>
      </c>
      <c r="B1" s="17" t="inlineStr">
        <is>
          <t>Name</t>
        </is>
      </c>
      <c r="C1" s="17" t="inlineStr">
        <is>
          <t>Category</t>
        </is>
      </c>
      <c r="D1" s="17" t="inlineStr">
        <is>
          <t>Stack Size</t>
        </is>
      </c>
      <c r="E1" s="17" t="inlineStr">
        <is>
          <t>Base Value</t>
        </is>
      </c>
      <c r="F1" s="17" t="inlineStr">
        <is>
          <t>Weight</t>
        </is>
      </c>
      <c r="G1" s="17" t="inlineStr">
        <is>
          <t>Rarity</t>
        </is>
      </c>
      <c r="H1" s="17" t="inlineStr">
        <is>
          <t>Craft Recipe</t>
        </is>
      </c>
      <c r="I1" s="17" t="inlineStr">
        <is>
          <t>Description</t>
        </is>
      </c>
      <c r="J1" s="18" t="inlineStr">
        <is>
          <t>Value/Weight</t>
        </is>
      </c>
    </row>
    <row r="2">
      <c r="A2" t="inlineStr">
        <is>
          <t>I-0001</t>
        </is>
      </c>
      <c r="B2" t="inlineStr">
        <is>
          <t>Iron Ore</t>
        </is>
      </c>
      <c r="C2" t="inlineStr">
        <is>
          <t>Material</t>
        </is>
      </c>
      <c r="D2" t="n">
        <v>50</v>
      </c>
      <c r="E2" t="n">
        <v>5</v>
      </c>
      <c r="F2" t="n">
        <v>2</v>
      </c>
      <c r="G2" t="inlineStr">
        <is>
          <t>Common</t>
        </is>
      </c>
      <c r="H2" t="inlineStr">
        <is>
          <t>-</t>
        </is>
      </c>
      <c r="I2" t="inlineStr">
        <is>
          <t>Raw iron for smelting</t>
        </is>
      </c>
      <c r="J2">
        <f>IF(F2&gt;0,ROUND(E2/F2,1),"-")</f>
        <v/>
      </c>
    </row>
    <row r="3">
      <c r="A3" t="inlineStr">
        <is>
          <t>I-0002</t>
        </is>
      </c>
      <c r="B3" t="inlineStr">
        <is>
          <t>Copper Ore</t>
        </is>
      </c>
      <c r="C3" t="inlineStr">
        <is>
          <t>Material</t>
        </is>
      </c>
      <c r="D3" t="n">
        <v>50</v>
      </c>
      <c r="E3" t="n">
        <v>4</v>
      </c>
      <c r="F3" t="n">
        <v>2</v>
      </c>
      <c r="G3" t="inlineStr">
        <is>
          <t>Common</t>
        </is>
      </c>
      <c r="H3" t="inlineStr">
        <is>
          <t>-</t>
        </is>
      </c>
      <c r="I3" t="inlineStr">
        <is>
          <t>Raw copper for smelting</t>
        </is>
      </c>
      <c r="J3">
        <f>IF(F3&gt;0,ROUND(E3/F3,1),"-")</f>
        <v/>
      </c>
    </row>
    <row r="4">
      <c r="A4" t="inlineStr">
        <is>
          <t>I-0003</t>
        </is>
      </c>
      <c r="B4" t="inlineStr">
        <is>
          <t>Iron Bar</t>
        </is>
      </c>
      <c r="C4" t="inlineStr">
        <is>
          <t>Material</t>
        </is>
      </c>
      <c r="D4" t="n">
        <v>20</v>
      </c>
      <c r="E4" t="n">
        <v>15</v>
      </c>
      <c r="F4" t="n">
        <v>3</v>
      </c>
      <c r="G4" t="inlineStr">
        <is>
          <t>Common</t>
        </is>
      </c>
      <c r="H4" t="inlineStr">
        <is>
          <t>2x Iron Ore</t>
        </is>
      </c>
      <c r="I4" t="inlineStr">
        <is>
          <t>Refined iron</t>
        </is>
      </c>
      <c r="J4">
        <f>IF(F4&gt;0,ROUND(E4/F4,1),"-")</f>
        <v/>
      </c>
    </row>
    <row r="5">
      <c r="A5" t="inlineStr">
        <is>
          <t>I-0004</t>
        </is>
      </c>
      <c r="B5" t="inlineStr">
        <is>
          <t>Copper Bar</t>
        </is>
      </c>
      <c r="C5" t="inlineStr">
        <is>
          <t>Material</t>
        </is>
      </c>
      <c r="D5" t="n">
        <v>20</v>
      </c>
      <c r="E5" t="n">
        <v>12</v>
      </c>
      <c r="F5" t="n">
        <v>3</v>
      </c>
      <c r="G5" t="inlineStr">
        <is>
          <t>Common</t>
        </is>
      </c>
      <c r="H5" t="inlineStr">
        <is>
          <t>2x Copper Ore</t>
        </is>
      </c>
      <c r="I5" t="inlineStr">
        <is>
          <t>Refined copper</t>
        </is>
      </c>
      <c r="J5">
        <f>IF(F5&gt;0,ROUND(E5/F5,1),"-")</f>
        <v/>
      </c>
    </row>
    <row r="6">
      <c r="A6" t="inlineStr">
        <is>
          <t>I-0005</t>
        </is>
      </c>
      <c r="B6" t="inlineStr">
        <is>
          <t>Scrap Metal</t>
        </is>
      </c>
      <c r="C6" t="inlineStr">
        <is>
          <t>Material</t>
        </is>
      </c>
      <c r="D6" t="n">
        <v>30</v>
      </c>
      <c r="E6" t="n">
        <v>3</v>
      </c>
      <c r="F6" t="n">
        <v>1</v>
      </c>
      <c r="G6" t="inlineStr">
        <is>
          <t>Common</t>
        </is>
      </c>
      <c r="H6" t="inlineStr">
        <is>
          <t>-</t>
        </is>
      </c>
      <c r="I6" t="inlineStr">
        <is>
          <t>Salvaged metal</t>
        </is>
      </c>
      <c r="J6">
        <f>IF(F6&gt;0,ROUND(E6/F6,1),"-")</f>
        <v/>
      </c>
    </row>
    <row r="7">
      <c r="A7" t="inlineStr">
        <is>
          <t>I-0006</t>
        </is>
      </c>
      <c r="B7" t="inlineStr">
        <is>
          <t>Ancient Parts</t>
        </is>
      </c>
      <c r="C7" t="inlineStr">
        <is>
          <t>Material</t>
        </is>
      </c>
      <c r="D7" t="n">
        <v>10</v>
      </c>
      <c r="E7" t="n">
        <v>100</v>
      </c>
      <c r="F7" t="n">
        <v>1</v>
      </c>
      <c r="G7" t="inlineStr">
        <is>
          <t>Rare</t>
        </is>
      </c>
      <c r="H7" t="inlineStr">
        <is>
          <t>-</t>
        </is>
      </c>
      <c r="I7" t="inlineStr">
        <is>
          <t>Pre-war technology</t>
        </is>
      </c>
      <c r="J7">
        <f>IF(F7&gt;0,ROUND(E7/F7,1),"-")</f>
        <v/>
      </c>
    </row>
    <row r="8">
      <c r="A8" t="inlineStr">
        <is>
          <t>I-0007</t>
        </is>
      </c>
      <c r="B8" t="inlineStr">
        <is>
          <t>Electronics</t>
        </is>
      </c>
      <c r="C8" t="inlineStr">
        <is>
          <t>Material</t>
        </is>
      </c>
      <c r="D8" t="n">
        <v>15</v>
      </c>
      <c r="E8" t="n">
        <v>50</v>
      </c>
      <c r="F8" t="n">
        <v>0.5</v>
      </c>
      <c r="G8" t="inlineStr">
        <is>
          <t>Uncommon</t>
        </is>
      </c>
      <c r="H8" t="inlineStr">
        <is>
          <t>-</t>
        </is>
      </c>
      <c r="I8" t="inlineStr">
        <is>
          <t>Circuits and wires</t>
        </is>
      </c>
      <c r="J8">
        <f>IF(F8&gt;0,ROUND(E8/F8,1),"-")</f>
        <v/>
      </c>
    </row>
    <row r="9">
      <c r="A9" t="inlineStr">
        <is>
          <t>I-0008</t>
        </is>
      </c>
      <c r="B9" t="inlineStr">
        <is>
          <t>Wood</t>
        </is>
      </c>
      <c r="C9" t="inlineStr">
        <is>
          <t>Material</t>
        </is>
      </c>
      <c r="D9" t="n">
        <v>50</v>
      </c>
      <c r="E9" t="n">
        <v>2</v>
      </c>
      <c r="F9" t="n">
        <v>2</v>
      </c>
      <c r="G9" t="inlineStr">
        <is>
          <t>Common</t>
        </is>
      </c>
      <c r="H9" t="inlineStr">
        <is>
          <t>-</t>
        </is>
      </c>
      <c r="I9" t="inlineStr">
        <is>
          <t>Building material</t>
        </is>
      </c>
      <c r="J9">
        <f>IF(F9&gt;0,ROUND(E9/F9,1),"-")</f>
        <v/>
      </c>
    </row>
    <row r="10">
      <c r="A10" t="inlineStr">
        <is>
          <t>I-0009</t>
        </is>
      </c>
      <c r="B10" t="inlineStr">
        <is>
          <t>Stone</t>
        </is>
      </c>
      <c r="C10" t="inlineStr">
        <is>
          <t>Material</t>
        </is>
      </c>
      <c r="D10" t="n">
        <v>50</v>
      </c>
      <c r="E10" t="n">
        <v>1</v>
      </c>
      <c r="F10" t="n">
        <v>3</v>
      </c>
      <c r="G10" t="inlineStr">
        <is>
          <t>Common</t>
        </is>
      </c>
      <c r="H10" t="inlineStr">
        <is>
          <t>-</t>
        </is>
      </c>
      <c r="I10" t="inlineStr">
        <is>
          <t>Building material</t>
        </is>
      </c>
      <c r="J10">
        <f>IF(F10&gt;0,ROUND(E10/F10,1),"-")</f>
        <v/>
      </c>
    </row>
    <row r="11">
      <c r="A11" t="inlineStr">
        <is>
          <t>I-0010</t>
        </is>
      </c>
      <c r="B11" t="inlineStr">
        <is>
          <t>Plant Fiber</t>
        </is>
      </c>
      <c r="C11" t="inlineStr">
        <is>
          <t>Material</t>
        </is>
      </c>
      <c r="D11" t="n">
        <v>50</v>
      </c>
      <c r="E11" t="n">
        <v>1</v>
      </c>
      <c r="F11" t="n">
        <v>0.2</v>
      </c>
      <c r="G11" t="inlineStr">
        <is>
          <t>Common</t>
        </is>
      </c>
      <c r="H11" t="inlineStr">
        <is>
          <t>-</t>
        </is>
      </c>
      <c r="I11" t="inlineStr">
        <is>
          <t>For bandages and rope</t>
        </is>
      </c>
      <c r="J11">
        <f>IF(F11&gt;0,ROUND(E11/F11,1),"-")</f>
        <v/>
      </c>
    </row>
    <row r="12">
      <c r="A12" t="inlineStr">
        <is>
          <t>I-0011</t>
        </is>
      </c>
      <c r="B12" t="inlineStr">
        <is>
          <t>Rusty Sword</t>
        </is>
      </c>
      <c r="C12" t="inlineStr">
        <is>
          <t>Weapon</t>
        </is>
      </c>
      <c r="D12" t="n">
        <v>1</v>
      </c>
      <c r="E12" t="n">
        <v>50</v>
      </c>
      <c r="F12" t="n">
        <v>4</v>
      </c>
      <c r="G12" t="inlineStr">
        <is>
          <t>Common</t>
        </is>
      </c>
      <c r="H12" t="inlineStr">
        <is>
          <t>-</t>
        </is>
      </c>
      <c r="I12" t="inlineStr">
        <is>
          <t>Basic melee weapon</t>
        </is>
      </c>
      <c r="J12">
        <f>IF(F12&gt;0,ROUND(E12/F12,1),"-")</f>
        <v/>
      </c>
    </row>
    <row r="13">
      <c r="A13" t="inlineStr">
        <is>
          <t>I-0012</t>
        </is>
      </c>
      <c r="B13" t="inlineStr">
        <is>
          <t>Iron Sword</t>
        </is>
      </c>
      <c r="C13" t="inlineStr">
        <is>
          <t>Weapon</t>
        </is>
      </c>
      <c r="D13" t="n">
        <v>1</v>
      </c>
      <c r="E13" t="n">
        <v>150</v>
      </c>
      <c r="F13" t="n">
        <v>4</v>
      </c>
      <c r="G13" t="inlineStr">
        <is>
          <t>Uncommon</t>
        </is>
      </c>
      <c r="H13" t="inlineStr">
        <is>
          <t>5x Iron Bar</t>
        </is>
      </c>
      <c r="I13" t="inlineStr">
        <is>
          <t>Reliable blade</t>
        </is>
      </c>
      <c r="J13">
        <f>IF(F13&gt;0,ROUND(E13/F13,1),"-")</f>
        <v/>
      </c>
    </row>
    <row r="14">
      <c r="A14" t="inlineStr">
        <is>
          <t>I-0013</t>
        </is>
      </c>
      <c r="B14" t="inlineStr">
        <is>
          <t>Machete</t>
        </is>
      </c>
      <c r="C14" t="inlineStr">
        <is>
          <t>Weapon</t>
        </is>
      </c>
      <c r="D14" t="n">
        <v>1</v>
      </c>
      <c r="E14" t="n">
        <v>80</v>
      </c>
      <c r="F14" t="n">
        <v>3</v>
      </c>
      <c r="G14" t="inlineStr">
        <is>
          <t>Common</t>
        </is>
      </c>
      <c r="H14" t="inlineStr">
        <is>
          <t>3x Iron Bar</t>
        </is>
      </c>
      <c r="I14" t="inlineStr">
        <is>
          <t>Fast slashing weapon</t>
        </is>
      </c>
      <c r="J14">
        <f>IF(F14&gt;0,ROUND(E14/F14,1),"-")</f>
        <v/>
      </c>
    </row>
    <row r="15">
      <c r="A15" t="inlineStr">
        <is>
          <t>I-0014</t>
        </is>
      </c>
      <c r="B15" t="inlineStr">
        <is>
          <t>Sledgehammer</t>
        </is>
      </c>
      <c r="C15" t="inlineStr">
        <is>
          <t>Weapon</t>
        </is>
      </c>
      <c r="D15" t="n">
        <v>1</v>
      </c>
      <c r="E15" t="n">
        <v>120</v>
      </c>
      <c r="F15" t="n">
        <v>8</v>
      </c>
      <c r="G15" t="inlineStr">
        <is>
          <t>Uncommon</t>
        </is>
      </c>
      <c r="H15" t="inlineStr">
        <is>
          <t>4x Iron Bar, 2x Wood</t>
        </is>
      </c>
      <c r="I15" t="inlineStr">
        <is>
          <t>Heavy blunt weapon</t>
        </is>
      </c>
      <c r="J15">
        <f>IF(F15&gt;0,ROUND(E15/F15,1),"-")</f>
        <v/>
      </c>
    </row>
    <row r="16">
      <c r="A16" t="inlineStr">
        <is>
          <t>I-0015</t>
        </is>
      </c>
      <c r="B16" t="inlineStr">
        <is>
          <t>Crossbow</t>
        </is>
      </c>
      <c r="C16" t="inlineStr">
        <is>
          <t>Weapon</t>
        </is>
      </c>
      <c r="D16" t="n">
        <v>1</v>
      </c>
      <c r="E16" t="n">
        <v>200</v>
      </c>
      <c r="F16" t="n">
        <v>5</v>
      </c>
      <c r="G16" t="inlineStr">
        <is>
          <t>Uncommon</t>
        </is>
      </c>
      <c r="H16" t="inlineStr">
        <is>
          <t>3x Iron Bar, 4x Wood</t>
        </is>
      </c>
      <c r="I16" t="inlineStr">
        <is>
          <t>Ranged weapon</t>
        </is>
      </c>
      <c r="J16">
        <f>IF(F16&gt;0,ROUND(E16/F16,1),"-")</f>
        <v/>
      </c>
    </row>
    <row r="17">
      <c r="A17" t="inlineStr">
        <is>
          <t>I-0016</t>
        </is>
      </c>
      <c r="B17" t="inlineStr">
        <is>
          <t>Bolt</t>
        </is>
      </c>
      <c r="C17" t="inlineStr">
        <is>
          <t>Ammo</t>
        </is>
      </c>
      <c r="D17" t="n">
        <v>50</v>
      </c>
      <c r="E17" t="n">
        <v>2</v>
      </c>
      <c r="F17" t="n">
        <v>0.1</v>
      </c>
      <c r="G17" t="inlineStr">
        <is>
          <t>Common</t>
        </is>
      </c>
      <c r="H17" t="inlineStr">
        <is>
          <t>1x Iron Bar = 10</t>
        </is>
      </c>
      <c r="I17" t="inlineStr">
        <is>
          <t>Crossbow ammo</t>
        </is>
      </c>
      <c r="J17">
        <f>IF(F17&gt;0,ROUND(E17/F17,1),"-")</f>
        <v/>
      </c>
    </row>
    <row r="18">
      <c r="A18" t="inlineStr">
        <is>
          <t>I-0017</t>
        </is>
      </c>
      <c r="B18" t="inlineStr">
        <is>
          <t>Ragged Clothes</t>
        </is>
      </c>
      <c r="C18" t="inlineStr">
        <is>
          <t>Armor</t>
        </is>
      </c>
      <c r="D18" t="n">
        <v>1</v>
      </c>
      <c r="E18" t="n">
        <v>10</v>
      </c>
      <c r="F18" t="n">
        <v>2</v>
      </c>
      <c r="G18" t="inlineStr">
        <is>
          <t>Common</t>
        </is>
      </c>
      <c r="H18" t="inlineStr">
        <is>
          <t>-</t>
        </is>
      </c>
      <c r="I18" t="inlineStr">
        <is>
          <t>Barely protection</t>
        </is>
      </c>
      <c r="J18">
        <f>IF(F18&gt;0,ROUND(E18/F18,1),"-")</f>
        <v/>
      </c>
    </row>
    <row r="19">
      <c r="A19" t="inlineStr">
        <is>
          <t>I-0018</t>
        </is>
      </c>
      <c r="B19" t="inlineStr">
        <is>
          <t>Leather Armor</t>
        </is>
      </c>
      <c r="C19" t="inlineStr">
        <is>
          <t>Armor</t>
        </is>
      </c>
      <c r="D19" t="n">
        <v>1</v>
      </c>
      <c r="E19" t="n">
        <v>100</v>
      </c>
      <c r="F19" t="n">
        <v>6</v>
      </c>
      <c r="G19" t="inlineStr">
        <is>
          <t>Common</t>
        </is>
      </c>
      <c r="H19" t="inlineStr">
        <is>
          <t>5x Leather</t>
        </is>
      </c>
      <c r="I19" t="inlineStr">
        <is>
          <t>Light protection</t>
        </is>
      </c>
      <c r="J19">
        <f>IF(F19&gt;0,ROUND(E19/F19,1),"-")</f>
        <v/>
      </c>
    </row>
    <row r="20">
      <c r="A20" t="inlineStr">
        <is>
          <t>I-0019</t>
        </is>
      </c>
      <c r="B20" t="inlineStr">
        <is>
          <t>Iron Plate Armor</t>
        </is>
      </c>
      <c r="C20" t="inlineStr">
        <is>
          <t>Armor</t>
        </is>
      </c>
      <c r="D20" t="n">
        <v>1</v>
      </c>
      <c r="E20" t="n">
        <v>300</v>
      </c>
      <c r="F20" t="n">
        <v>15</v>
      </c>
      <c r="G20" t="inlineStr">
        <is>
          <t>Uncommon</t>
        </is>
      </c>
      <c r="H20" t="inlineStr">
        <is>
          <t>10x Iron Bar</t>
        </is>
      </c>
      <c r="I20" t="inlineStr">
        <is>
          <t>Heavy protection</t>
        </is>
      </c>
      <c r="J20">
        <f>IF(F20&gt;0,ROUND(E20/F20,1),"-")</f>
        <v/>
      </c>
    </row>
    <row r="21">
      <c r="A21" t="inlineStr">
        <is>
          <t>I-0020</t>
        </is>
      </c>
      <c r="B21" t="inlineStr">
        <is>
          <t>Bandage</t>
        </is>
      </c>
      <c r="C21" t="inlineStr">
        <is>
          <t>Consumable</t>
        </is>
      </c>
      <c r="D21" t="n">
        <v>20</v>
      </c>
      <c r="E21" t="n">
        <v>5</v>
      </c>
      <c r="F21" t="n">
        <v>0.1</v>
      </c>
      <c r="G21" t="inlineStr">
        <is>
          <t>Common</t>
        </is>
      </c>
      <c r="H21" t="inlineStr">
        <is>
          <t>2x Plant Fiber</t>
        </is>
      </c>
      <c r="I21" t="inlineStr">
        <is>
          <t>Heals 10 HP</t>
        </is>
      </c>
      <c r="J21">
        <f>IF(F21&gt;0,ROUND(E21/F21,1),"-")</f>
        <v/>
      </c>
    </row>
    <row r="22">
      <c r="A22" t="inlineStr">
        <is>
          <t>I-0021</t>
        </is>
      </c>
      <c r="B22" t="inlineStr">
        <is>
          <t>Med Kit</t>
        </is>
      </c>
      <c r="C22" t="inlineStr">
        <is>
          <t>Consumable</t>
        </is>
      </c>
      <c r="D22" t="n">
        <v>10</v>
      </c>
      <c r="E22" t="n">
        <v>50</v>
      </c>
      <c r="F22" t="n">
        <v>0.5</v>
      </c>
      <c r="G22" t="inlineStr">
        <is>
          <t>Uncommon</t>
        </is>
      </c>
      <c r="H22" t="inlineStr">
        <is>
          <t>5x Bandage, Alcohol</t>
        </is>
      </c>
      <c r="I22" t="inlineStr">
        <is>
          <t>Heals 50 HP</t>
        </is>
      </c>
      <c r="J22">
        <f>IF(F22&gt;0,ROUND(E22/F22,1),"-")</f>
        <v/>
      </c>
    </row>
    <row r="23">
      <c r="A23" t="inlineStr">
        <is>
          <t>I-0022</t>
        </is>
      </c>
      <c r="B23" t="inlineStr">
        <is>
          <t>Dried Meat</t>
        </is>
      </c>
      <c r="C23" t="inlineStr">
        <is>
          <t>Food</t>
        </is>
      </c>
      <c r="D23" t="n">
        <v>20</v>
      </c>
      <c r="E23" t="n">
        <v>8</v>
      </c>
      <c r="F23" t="n">
        <v>0.3</v>
      </c>
      <c r="G23" t="inlineStr">
        <is>
          <t>Common</t>
        </is>
      </c>
      <c r="H23" t="inlineStr">
        <is>
          <t>1x Raw Meat</t>
        </is>
      </c>
      <c r="I23" t="inlineStr">
        <is>
          <t>Restores 20 hunger</t>
        </is>
      </c>
      <c r="J23">
        <f>IF(F23&gt;0,ROUND(E23/F23,1),"-")</f>
        <v/>
      </c>
    </row>
    <row r="24">
      <c r="A24" t="inlineStr">
        <is>
          <t>I-0023</t>
        </is>
      </c>
      <c r="B24" t="inlineStr">
        <is>
          <t>Cactus Flesh</t>
        </is>
      </c>
      <c r="C24" t="inlineStr">
        <is>
          <t>Food</t>
        </is>
      </c>
      <c r="D24" t="n">
        <v>20</v>
      </c>
      <c r="E24" t="n">
        <v>3</v>
      </c>
      <c r="F24" t="n">
        <v>0.2</v>
      </c>
      <c r="G24" t="inlineStr">
        <is>
          <t>Common</t>
        </is>
      </c>
      <c r="H24" t="inlineStr">
        <is>
          <t>-</t>
        </is>
      </c>
      <c r="I24" t="inlineStr">
        <is>
          <t>Restores 10 hunger</t>
        </is>
      </c>
      <c r="J24">
        <f>IF(F24&gt;0,ROUND(E24/F24,1),"-")</f>
        <v/>
      </c>
    </row>
    <row r="25">
      <c r="A25" t="inlineStr">
        <is>
          <t>I-0024</t>
        </is>
      </c>
      <c r="B25" t="inlineStr">
        <is>
          <t>Water Flask</t>
        </is>
      </c>
      <c r="C25" t="inlineStr">
        <is>
          <t>Consumable</t>
        </is>
      </c>
      <c r="D25" t="n">
        <v>5</v>
      </c>
      <c r="E25" t="n">
        <v>15</v>
      </c>
      <c r="F25" t="n">
        <v>1</v>
      </c>
      <c r="G25" t="inlineStr">
        <is>
          <t>Common</t>
        </is>
      </c>
      <c r="H25" t="inlineStr">
        <is>
          <t>2x Leather</t>
        </is>
      </c>
      <c r="I25" t="inlineStr">
        <is>
          <t>Holds water</t>
        </is>
      </c>
      <c r="J25">
        <f>IF(F25&gt;0,ROUND(E25/F25,1),"-")</f>
        <v/>
      </c>
    </row>
    <row r="26">
      <c r="A26" s="10" t="inlineStr">
        <is>
          <t>I-0025</t>
        </is>
      </c>
      <c r="B26" s="10" t="inlineStr">
        <is>
          <t>Data Chip</t>
        </is>
      </c>
      <c r="C26" s="10" t="inlineStr">
        <is>
          <t>Quest</t>
        </is>
      </c>
      <c r="D26" s="10" t="n">
        <v>5</v>
      </c>
      <c r="E26" s="10" t="n">
        <v>500</v>
      </c>
      <c r="F26" s="10" t="n">
        <v>0.1</v>
      </c>
      <c r="G26" s="10" t="inlineStr">
        <is>
          <t>Rare</t>
        </is>
      </c>
      <c r="H26" s="10" t="inlineStr">
        <is>
          <t>-</t>
        </is>
      </c>
      <c r="I26" s="10" t="inlineStr">
        <is>
          <t>Contains ancient data</t>
        </is>
      </c>
      <c r="J26" s="10">
        <f>IF(F26&gt;0,ROUND(E26/F26,1),"-")</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8" min="1" max="1"/>
    <col width="17.85546875" bestFit="1" customWidth="1" style="38" min="2" max="2"/>
    <col width="39.42578125" customWidth="1" style="38" min="3" max="3"/>
    <col width="18.28515625" customWidth="1" style="38" min="5" max="5"/>
    <col width="17.28515625" bestFit="1" customWidth="1" style="38" min="6" max="7"/>
    <col width="17.28515625" customWidth="1" style="38" min="8" max="8"/>
    <col width="18.28515625" customWidth="1" style="38"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34"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0" t="inlineStr">
        <is>
          <t>Faction ID</t>
        </is>
      </c>
      <c r="B1" s="20" t="inlineStr">
        <is>
          <t>Name</t>
        </is>
      </c>
      <c r="C1" s="20" t="inlineStr">
        <is>
          <t>Disposition</t>
        </is>
      </c>
      <c r="D1" s="20" t="inlineStr">
        <is>
          <t>Territory</t>
        </is>
      </c>
      <c r="E1" s="20" t="inlineStr">
        <is>
          <t>Strength</t>
        </is>
      </c>
      <c r="F1" s="20" t="inlineStr">
        <is>
          <t>Trade?</t>
        </is>
      </c>
      <c r="G1" s="20" t="inlineStr">
        <is>
          <t>Recruitable?</t>
        </is>
      </c>
      <c r="H1" s="20"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0" t="inlineStr">
        <is>
          <t>F-0010</t>
        </is>
      </c>
      <c r="B11" s="10" t="inlineStr">
        <is>
          <t>The Dominion</t>
        </is>
      </c>
      <c r="C11" s="10" t="inlineStr">
        <is>
          <t>Hostile</t>
        </is>
      </c>
      <c r="D11" s="10" t="inlineStr">
        <is>
          <t>East Chasma</t>
        </is>
      </c>
      <c r="E11" s="10" t="inlineStr">
        <is>
          <t>Very High</t>
        </is>
      </c>
      <c r="F11" s="10" t="inlineStr">
        <is>
          <t>No</t>
        </is>
      </c>
      <c r="G11" s="10" t="inlineStr">
        <is>
          <t>No</t>
        </is>
      </c>
      <c r="H11" s="10" t="inlineStr">
        <is>
          <t>Authoritarian empire</t>
        </is>
      </c>
    </row>
    <row r="14" ht="15.75" customHeight="1" s="38">
      <c r="A14" s="7" t="inlineStr">
        <is>
          <t>FACTION RELATIONSHIPS</t>
        </is>
      </c>
    </row>
    <row r="15">
      <c r="A15" s="20" t="inlineStr">
        <is>
          <t>From \ To</t>
        </is>
      </c>
      <c r="B15" s="20" t="inlineStr">
        <is>
          <t>Bandits</t>
        </is>
      </c>
      <c r="C15" s="20" t="inlineStr">
        <is>
          <t>Nomads</t>
        </is>
      </c>
      <c r="D15" s="20" t="inlineStr">
        <is>
          <t>Town</t>
        </is>
      </c>
      <c r="E15" s="20" t="inlineStr">
        <is>
          <t>Slavers</t>
        </is>
      </c>
      <c r="F15" s="23" t="inlineStr">
        <is>
          <t>Tech Hunters</t>
        </is>
      </c>
    </row>
    <row r="16">
      <c r="A16" s="21" t="inlineStr">
        <is>
          <t>Bandits</t>
        </is>
      </c>
      <c r="B16" t="inlineStr">
        <is>
          <t>-</t>
        </is>
      </c>
      <c r="C16" t="inlineStr">
        <is>
          <t>Hostile</t>
        </is>
      </c>
      <c r="D16" t="inlineStr">
        <is>
          <t>Hostile</t>
        </is>
      </c>
      <c r="E16" t="inlineStr">
        <is>
          <t>Neutral</t>
        </is>
      </c>
      <c r="F16" s="11" t="inlineStr">
        <is>
          <t>Hostile</t>
        </is>
      </c>
    </row>
    <row r="17">
      <c r="A17" s="21" t="inlineStr">
        <is>
          <t>Nomads</t>
        </is>
      </c>
      <c r="B17" t="inlineStr">
        <is>
          <t>Hostile</t>
        </is>
      </c>
      <c r="C17" t="inlineStr">
        <is>
          <t>-</t>
        </is>
      </c>
      <c r="D17" t="inlineStr">
        <is>
          <t>Friendly</t>
        </is>
      </c>
      <c r="E17" t="inlineStr">
        <is>
          <t>Hostile</t>
        </is>
      </c>
      <c r="F17" s="11" t="inlineStr">
        <is>
          <t>Neutral</t>
        </is>
      </c>
    </row>
    <row r="18">
      <c r="A18" s="21" t="inlineStr">
        <is>
          <t>Town</t>
        </is>
      </c>
      <c r="B18" t="inlineStr">
        <is>
          <t>Hostile</t>
        </is>
      </c>
      <c r="C18" t="inlineStr">
        <is>
          <t>Friendly</t>
        </is>
      </c>
      <c r="D18" t="inlineStr">
        <is>
          <t>-</t>
        </is>
      </c>
      <c r="E18" t="inlineStr">
        <is>
          <t>Hostile</t>
        </is>
      </c>
      <c r="F18" s="11" t="inlineStr">
        <is>
          <t>Friendly</t>
        </is>
      </c>
    </row>
    <row r="19">
      <c r="A19" s="21" t="inlineStr">
        <is>
          <t>Slavers</t>
        </is>
      </c>
      <c r="B19" t="inlineStr">
        <is>
          <t>Neutral</t>
        </is>
      </c>
      <c r="C19" t="inlineStr">
        <is>
          <t>Hostile</t>
        </is>
      </c>
      <c r="D19" t="inlineStr">
        <is>
          <t>Hostile</t>
        </is>
      </c>
      <c r="E19" t="inlineStr">
        <is>
          <t>-</t>
        </is>
      </c>
      <c r="F19" s="11" t="inlineStr">
        <is>
          <t>Neutral</t>
        </is>
      </c>
    </row>
    <row r="20">
      <c r="A20" s="22" t="inlineStr">
        <is>
          <t>Tech Hunters</t>
        </is>
      </c>
      <c r="B20" s="10" t="inlineStr">
        <is>
          <t>Hostile</t>
        </is>
      </c>
      <c r="C20" s="10" t="inlineStr">
        <is>
          <t>Neutral</t>
        </is>
      </c>
      <c r="D20" s="10" t="inlineStr">
        <is>
          <t>Friendly</t>
        </is>
      </c>
      <c r="E20" s="10" t="inlineStr">
        <is>
          <t>Neutral</t>
        </is>
      </c>
      <c r="F20" s="12" t="inlineStr">
        <is>
          <t>-</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4" t="inlineStr">
        <is>
          <t>Biome ID</t>
        </is>
      </c>
      <c r="B1" s="24" t="inlineStr">
        <is>
          <t>Name</t>
        </is>
      </c>
      <c r="C1" s="24" t="inlineStr">
        <is>
          <t>Temperature</t>
        </is>
      </c>
      <c r="D1" s="24" t="inlineStr">
        <is>
          <t>Danger Level</t>
        </is>
      </c>
      <c r="E1" s="24" t="inlineStr">
        <is>
          <t>Water Avail.</t>
        </is>
      </c>
      <c r="F1" s="24" t="inlineStr">
        <is>
          <t>Resources</t>
        </is>
      </c>
      <c r="G1" s="24" t="inlineStr">
        <is>
          <t>Common Fauna</t>
        </is>
      </c>
      <c r="H1" s="24" t="inlineStr">
        <is>
          <t>Factions Present</t>
        </is>
      </c>
      <c r="I1" s="24" t="inlineStr">
        <is>
          <t>Weather</t>
        </is>
      </c>
      <c r="J1" s="24"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8" min="1" max="1"/>
    <col width="32.7109375" bestFit="1" customWidth="1" style="38" min="2" max="2"/>
    <col width="13.7109375" bestFit="1" customWidth="1" style="38" min="4" max="4"/>
    <col width="6" bestFit="1" customWidth="1" style="38" min="5" max="5"/>
  </cols>
  <sheetData>
    <row r="1" ht="21" customHeight="1" s="38">
      <c r="A1" s="25" t="inlineStr">
        <is>
          <t>CHASMA COMBAT SYSTEM</t>
        </is>
      </c>
    </row>
    <row r="3" ht="15.75" customHeight="1" s="38">
      <c r="A3" s="7" t="inlineStr">
        <is>
          <t>DAMAGE CALCULATION</t>
        </is>
      </c>
    </row>
    <row r="4">
      <c r="A4" s="20" t="inlineStr">
        <is>
          <t>Component</t>
        </is>
      </c>
      <c r="B4" s="20"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8">
      <c r="A12" s="7" t="inlineStr">
        <is>
          <t>DEFENSE CALCULATION</t>
        </is>
      </c>
    </row>
    <row r="13">
      <c r="A13" s="24" t="inlineStr">
        <is>
          <t>Component</t>
        </is>
      </c>
      <c r="B13" s="24"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8">
      <c r="A20" s="7" t="inlineStr">
        <is>
          <t>COMBAT EXAMPLE</t>
        </is>
      </c>
    </row>
    <row r="21">
      <c r="A21" s="15" t="inlineStr">
        <is>
          <t>Attacker Stats</t>
        </is>
      </c>
      <c r="B21" s="15" t="inlineStr">
        <is>
          <t>Value</t>
        </is>
      </c>
      <c r="D21" s="19" t="inlineStr">
        <is>
          <t>Defender Stats</t>
        </is>
      </c>
      <c r="E21" s="19"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6">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4"/>
  <sheetViews>
    <sheetView workbookViewId="0">
      <selection activeCell="D11" sqref="D11"/>
    </sheetView>
  </sheetViews>
  <sheetFormatPr baseColWidth="8" defaultRowHeight="15"/>
  <cols>
    <col width="16.85546875" bestFit="1" customWidth="1" style="38" min="1" max="1"/>
    <col width="8.7109375" bestFit="1" customWidth="1" style="38" min="2" max="2"/>
    <col width="22.42578125" bestFit="1" customWidth="1" style="38" min="3" max="3"/>
    <col width="8.28515625" bestFit="1" customWidth="1" style="38" min="4" max="4"/>
    <col width="12.7109375" bestFit="1" customWidth="1" style="38" min="5" max="5"/>
    <col width="6.42578125" bestFit="1" customWidth="1" style="38" min="6" max="6"/>
    <col width="17.85546875" bestFit="1" customWidth="1" style="38" min="7" max="7"/>
    <col width="7.85546875" bestFit="1" customWidth="1" style="38" min="8" max="8"/>
    <col width="8.7109375" bestFit="1" customWidth="1" style="38" min="9" max="10"/>
    <col width="12.7109375" bestFit="1" customWidth="1" style="38" min="11" max="11"/>
    <col width="13.7109375" bestFit="1" customWidth="1" style="38" min="12" max="12"/>
    <col width="16.28515625" bestFit="1" customWidth="1" style="38" min="13" max="13"/>
    <col width="11.140625" bestFit="1" customWidth="1" style="38" min="14" max="14"/>
    <col width="8.140625" bestFit="1" customWidth="1" style="38"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E17" sqref="E17"/>
    </sheetView>
  </sheetViews>
  <sheetFormatPr baseColWidth="8" defaultRowHeight="15"/>
  <cols>
    <col width="10.85546875" bestFit="1" customWidth="1" style="38" min="1" max="1"/>
    <col width="13.42578125" bestFit="1" customWidth="1" style="38" min="2" max="2"/>
    <col width="29.7109375" bestFit="1" customWidth="1" style="38" min="3" max="3"/>
    <col width="8.140625" bestFit="1" customWidth="1" style="38"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5"/>
  <sheetViews>
    <sheetView tabSelected="1" workbookViewId="0">
      <selection activeCell="E20" sqref="E20"/>
    </sheetView>
  </sheetViews>
  <sheetFormatPr baseColWidth="8" defaultRowHeight="15"/>
  <cols>
    <col width="13.28515625" bestFit="1" customWidth="1" style="38" min="1" max="1"/>
    <col width="12.85546875" bestFit="1" customWidth="1" style="38" min="2" max="2"/>
    <col width="10.7109375" bestFit="1" customWidth="1" style="38" min="3" max="3"/>
    <col width="26.85546875" bestFit="1" customWidth="1" style="38" min="4" max="4"/>
    <col width="35.7109375" bestFit="1" customWidth="1" style="38" min="5" max="5"/>
    <col width="15.85546875" bestFit="1" customWidth="1" style="38" min="6" max="6"/>
    <col width="6.7109375" bestFit="1" customWidth="1" style="38" min="7" max="7"/>
    <col width="10.28515625" bestFit="1" customWidth="1" style="38" min="8" max="8"/>
    <col width="13.5703125" bestFit="1" customWidth="1" style="38" min="9" max="9"/>
    <col width="14.7109375" bestFit="1" customWidth="1" style="38" min="10" max="11"/>
    <col width="15.7109375" bestFit="1" customWidth="1" style="38" min="12" max="12"/>
    <col width="9.85546875" bestFit="1" customWidth="1" style="38" min="13" max="13"/>
    <col width="18.7109375" bestFit="1" customWidth="1" style="38" min="14" max="14"/>
    <col width="13.42578125" bestFit="1" customWidth="1" style="38" min="15" max="15"/>
    <col width="16.42578125" bestFit="1" customWidth="1" style="38" min="16" max="16"/>
    <col width="16.85546875" bestFit="1" customWidth="1" style="38" min="17" max="17"/>
    <col width="13.140625" bestFit="1" customWidth="1" style="38" min="18" max="18"/>
    <col width="8.140625" bestFit="1" customWidth="1" style="38" min="19" max="19"/>
    <col width="17.7109375" bestFit="1" customWidth="1" style="38"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2026-07-23T03:50:05Z</dcterms:modified>
  <cp:lastModifiedBy>Matthew Dewyer</cp:lastModifiedBy>
</cp:coreProperties>
</file>