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15840" tabRatio="600" firstSheet="1" activeTab="3" autoFilterDateGrouping="1"/>
  </bookViews>
  <sheets>
    <sheet name="Unit Import Schema" sheetId="1" state="visible" r:id="rId1"/>
    <sheet name="Development" sheetId="2" state="visible" r:id="rId2"/>
    <sheet name="Unit Stats" sheetId="3" state="visible" r:id="rId3"/>
    <sheet name="Units" sheetId="4" state="visible" r:id="rId4"/>
    <sheet name="Lore" sheetId="5" state="visible" r:id="rId5"/>
    <sheet name="Items" sheetId="6" state="visible" r:id="rId6"/>
    <sheet name="Doodads" sheetId="7" state="visible" r:id="rId7"/>
    <sheet name="Factions" sheetId="8" state="visible" r:id="rId8"/>
    <sheet name="Biomes" sheetId="9" state="visible" r:id="rId9"/>
    <sheet name="Combat" sheetId="10" state="visible" r:id="rId10"/>
    <sheet name="Weapons" sheetId="11" state="visible" r:id="rId11"/>
    <sheet name="Animation Profiles" sheetId="12" state="visible" r:id="rId12"/>
    <sheet name="Building Categories" sheetId="13" state="visible" r:id="rId13"/>
    <sheet name="Buildings" sheetId="14" state="visible" r:id="rId14"/>
  </sheets>
  <definedNames/>
  <calcPr calcId="191029" fullCalcOnLoad="1"/>
</workbook>
</file>

<file path=xl/styles.xml><?xml version="1.0" encoding="utf-8"?>
<styleSheet xmlns="http://schemas.openxmlformats.org/spreadsheetml/2006/main">
  <numFmts count="0"/>
  <fonts count="14">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sz val="8"/>
      <scheme val="minor"/>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8B4513"/>
        <bgColor indexed="64"/>
      </patternFill>
    </fill>
    <fill>
      <patternFill patternType="solid">
        <fgColor rgb="FF5C4033"/>
        <bgColor indexed="64"/>
      </patternFill>
    </fill>
    <fill>
      <patternFill patternType="solid">
        <fgColor rgb="FF1F4E79"/>
        <bgColor indexed="64"/>
      </patternFill>
    </fill>
    <fill>
      <patternFill patternType="solid">
        <fgColor rgb="FF806000"/>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3">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0" applyAlignment="1" pivotButton="0" quotePrefix="0" xfId="0">
      <alignment horizontal="center"/>
    </xf>
    <xf numFmtId="0" fontId="3" fillId="8" borderId="4" applyAlignment="1" pivotButton="0" quotePrefix="0" xfId="0">
      <alignment horizontal="center"/>
    </xf>
    <xf numFmtId="0" fontId="3" fillId="9" borderId="0"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10" borderId="0" pivotButton="0" quotePrefix="0" xfId="0"/>
    <xf numFmtId="0" fontId="2" fillId="11" borderId="0" pivotButton="0" quotePrefix="0" xfId="0"/>
    <xf numFmtId="0" fontId="2" fillId="12" borderId="0" pivotButton="0" quotePrefix="0" xfId="0"/>
    <xf numFmtId="0" fontId="3" fillId="12" borderId="0" pivotButton="0" quotePrefix="0" xfId="0"/>
    <xf numFmtId="0" fontId="3" fillId="13" borderId="6" pivotButton="0" quotePrefix="0" xfId="0"/>
    <xf numFmtId="0" fontId="3" fillId="13" borderId="0" pivotButton="0" quotePrefix="0" xfId="0"/>
    <xf numFmtId="0" fontId="2" fillId="14" borderId="0" pivotButton="0" quotePrefix="0" xfId="0"/>
    <xf numFmtId="0" fontId="3" fillId="14" borderId="0" pivotButton="0" quotePrefix="0" xfId="0"/>
    <xf numFmtId="0" fontId="1" fillId="15" borderId="0" pivotButton="0" quotePrefix="0" xfId="0"/>
    <xf numFmtId="0" fontId="1" fillId="15" borderId="1" pivotButton="0" quotePrefix="0" xfId="0"/>
    <xf numFmtId="0" fontId="3" fillId="14" borderId="5" pivotButton="0" quotePrefix="0" xfId="0"/>
    <xf numFmtId="0" fontId="3" fillId="16"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7" borderId="0" applyAlignment="1" pivotButton="0" quotePrefix="0" xfId="0">
      <alignment horizontal="center"/>
    </xf>
    <xf numFmtId="0" fontId="12" fillId="19" borderId="0" pivotButton="0" quotePrefix="0" xfId="0"/>
    <xf numFmtId="0" fontId="11" fillId="18" borderId="0" pivotButton="0" quotePrefix="0" xfId="0"/>
    <xf numFmtId="0" fontId="0" fillId="0" borderId="0" applyAlignment="1" pivotButton="0" quotePrefix="0" xfId="0">
      <alignment wrapText="1"/>
    </xf>
    <xf numFmtId="0" fontId="0" fillId="0" borderId="0" pivotButton="0" quotePrefix="0" xfId="0"/>
    <xf numFmtId="0" fontId="5" fillId="0" borderId="0" pivotButton="0" quotePrefix="0" xfId="0"/>
    <xf numFmtId="0" fontId="0"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D1" authorId="0" shapeId="0">
      <text>
        <t>USED — GLB path → render key (e.g. robot); blank = no mesh</t>
      </text>
    </comment>
    <comment ref="E1" authorId="0" shapeId="0">
      <text>
        <t>STORED — catalog stat; no gameplay effect yet</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only; does NOT affect move speed (use Move Speed)</t>
      </text>
    </comment>
    <comment ref="K1" authorId="0" shapeId="0">
      <text>
        <t>STORED — catalog stat; no gameplay effect yet</t>
      </text>
    </comment>
    <comment ref="L1" authorId="0" shapeId="0">
      <text>
        <t>STORED — catalog stat; no gameplay effect yet</t>
      </text>
    </comment>
    <comment ref="M1" authorId="0" shapeId="0">
      <text>
        <t>IGNORED — sheet formula only; importer skips this column</t>
      </text>
    </comment>
    <comment ref="N1" authorId="0" shapeId="0">
      <text>
        <t>STORED — imported float; no gameplay effect yet (script writes computed value)</t>
      </text>
    </comment>
    <comment ref="O1" authorId="0" shapeId="0">
      <text>
        <t>USED — required string (Elite/Veteran/…); imported to catalog (script writes computed value)</t>
      </text>
    </comment>
    <comment ref="P1" authorId="0" shapeId="0">
      <text>
        <t>USED — meters/sec for movement simulation (authoritative for speed)</t>
      </text>
    </comment>
    <comment ref="Q1" authorId="0" shapeId="0">
      <text>
        <t>USED — meters; selection ring + steering radius</t>
      </text>
    </comment>
    <comment ref="R1" authorId="0" shapeId="0">
      <text>
        <t>USED — degrees; max walkable terrain slope for pathfinding</t>
      </text>
    </comment>
    <comment ref="T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8" customWidth="1" style="42" min="1" max="1"/>
    <col width="22" customWidth="1" style="42" min="2" max="3"/>
    <col width="48" customWidth="1" style="42" min="4" max="4"/>
  </cols>
  <sheetData>
    <row r="1" ht="15.75" customHeight="1" s="42">
      <c r="A1" s="37" t="inlineStr">
        <is>
          <t>Column</t>
        </is>
      </c>
      <c r="B1" s="37" t="inlineStr">
        <is>
          <t>Import</t>
        </is>
      </c>
      <c r="C1" s="37" t="inlineStr">
        <is>
          <t>Runtime use</t>
        </is>
      </c>
      <c r="D1" s="37"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9"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42" min="1" max="1"/>
    <col width="45.140625" bestFit="1" customWidth="1" style="42" min="2" max="2"/>
    <col width="10.7109375" bestFit="1" customWidth="1" style="42" min="3" max="3"/>
    <col width="10.85546875" bestFit="1" customWidth="1" style="42" min="4" max="4"/>
    <col width="12.28515625" bestFit="1" customWidth="1" style="42" min="5" max="5"/>
    <col width="10.28515625" bestFit="1" customWidth="1" style="42" min="6" max="6"/>
    <col width="33.28515625" bestFit="1" customWidth="1" style="42" min="7" max="7"/>
  </cols>
  <sheetData>
    <row r="1">
      <c r="A1" s="5" t="inlineStr">
        <is>
          <t>Task ID</t>
        </is>
      </c>
      <c r="B1" s="5" t="inlineStr">
        <is>
          <t>Description</t>
        </is>
      </c>
      <c r="C1" s="5" t="inlineStr">
        <is>
          <t>Priority</t>
        </is>
      </c>
      <c r="D1" s="18" t="inlineStr">
        <is>
          <t>Status</t>
        </is>
      </c>
      <c r="E1" s="18" t="inlineStr">
        <is>
          <t>Category</t>
        </is>
      </c>
      <c r="F1" s="18" t="inlineStr">
        <is>
          <t>Est. Hours</t>
        </is>
      </c>
      <c r="G1" s="18"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42" min="1" max="1"/>
    <col width="19" customWidth="1" style="42" min="2" max="2"/>
    <col width="38.140625" customWidth="1" style="42" min="3" max="4"/>
  </cols>
  <sheetData>
    <row r="1">
      <c r="A1" s="15" t="inlineStr">
        <is>
          <t>Stat</t>
        </is>
      </c>
      <c r="B1" s="15" t="inlineStr">
        <is>
          <t>Abbreviation</t>
        </is>
      </c>
      <c r="C1" s="15" t="inlineStr">
        <is>
          <t>Primary Effects</t>
        </is>
      </c>
      <c r="D1" s="15" t="inlineStr">
        <is>
          <t>Secondary Effects</t>
        </is>
      </c>
    </row>
    <row r="2">
      <c r="A2" t="inlineStr">
        <is>
          <t>Strength</t>
        </is>
      </c>
      <c r="B2" t="inlineStr">
        <is>
          <t>STR</t>
        </is>
      </c>
      <c r="C2" t="inlineStr">
        <is>
          <t>Melee damage, Carry weight, Block power</t>
        </is>
      </c>
      <c r="D2" t="inlineStr">
        <is>
          <t>Mining speed, Building speed</t>
        </is>
      </c>
    </row>
    <row r="9" ht="18.75" customHeight="1" s="42">
      <c r="A9" s="41" t="n"/>
    </row>
    <row r="10">
      <c r="A10" s="16" t="n"/>
      <c r="B10" s="16" t="n"/>
      <c r="C10" s="16" t="n"/>
    </row>
    <row r="17">
      <c r="A17" s="12" t="n"/>
      <c r="B17" s="12" t="n"/>
      <c r="C17" s="12" t="n"/>
    </row>
  </sheetData>
  <mergeCells count="1">
    <mergeCell ref="A9:D9"/>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T33"/>
  <sheetViews>
    <sheetView tabSelected="1" workbookViewId="0">
      <pane ySplit="1" topLeftCell="A2" activePane="bottomLeft" state="frozen"/>
      <selection activeCell="C28" sqref="C28"/>
      <selection pane="bottomLeft" activeCell="T3" sqref="T3"/>
    </sheetView>
  </sheetViews>
  <sheetFormatPr baseColWidth="8" defaultRowHeight="15"/>
  <cols>
    <col width="7.140625" bestFit="1" customWidth="1" style="42" min="1" max="1"/>
    <col width="14.42578125" customWidth="1" style="42" min="2" max="2"/>
    <col width="7.5703125" bestFit="1" customWidth="1" style="42" min="3" max="3"/>
    <col width="24.140625" customWidth="1" style="42" min="4" max="4"/>
    <col width="5.85546875" bestFit="1" customWidth="1" style="42" min="5" max="5"/>
    <col width="8.28515625" bestFit="1" customWidth="1" style="42" min="6" max="6"/>
    <col width="8.7109375" bestFit="1" customWidth="1" style="42" min="7" max="7"/>
    <col width="9.42578125" bestFit="1" customWidth="1" style="42" min="8" max="8"/>
    <col width="12.42578125" bestFit="1" customWidth="1" style="42" min="9" max="9"/>
    <col width="6.5703125" bestFit="1" customWidth="1" style="42" min="10" max="10"/>
    <col width="9.5703125" bestFit="1" customWidth="1" style="42" min="11" max="11"/>
    <col width="11.7109375" bestFit="1" customWidth="1" style="42" min="12" max="12"/>
  </cols>
  <sheetData>
    <row r="1">
      <c r="A1" s="2" t="inlineStr">
        <is>
          <t>Unit ID</t>
        </is>
      </c>
      <c r="B1" s="2" t="inlineStr">
        <is>
          <t>Name</t>
        </is>
      </c>
      <c r="C1" s="2" t="inlineStr">
        <is>
          <t>Faction</t>
        </is>
      </c>
      <c r="D1" s="2" t="inlineStr">
        <is>
          <t>File Path</t>
        </is>
      </c>
      <c r="E1" s="2" t="inlineStr">
        <is>
          <t>Level</t>
        </is>
      </c>
      <c r="F1" s="2" t="inlineStr">
        <is>
          <t>Base HP</t>
        </is>
      </c>
      <c r="G1" s="2" t="inlineStr">
        <is>
          <t>Strength</t>
        </is>
      </c>
      <c r="H1" s="2" t="inlineStr">
        <is>
          <t>Dexterity</t>
        </is>
      </c>
      <c r="I1" s="2" t="inlineStr">
        <is>
          <t>Constitution</t>
        </is>
      </c>
      <c r="J1" s="2" t="inlineStr">
        <is>
          <t>Agility</t>
        </is>
      </c>
      <c r="K1" s="2" t="inlineStr">
        <is>
          <t>Charisma</t>
        </is>
      </c>
      <c r="L1" s="2" t="inlineStr">
        <is>
          <t>Intelligence</t>
        </is>
      </c>
      <c r="M1" s="10" t="inlineStr">
        <is>
          <t>Total Stats</t>
        </is>
      </c>
      <c r="N1" s="10" t="inlineStr">
        <is>
          <t>Power Rating</t>
        </is>
      </c>
      <c r="O1" s="10" t="inlineStr">
        <is>
          <t>Tier</t>
        </is>
      </c>
      <c r="P1" s="38" t="inlineStr">
        <is>
          <t>Move Speed</t>
        </is>
      </c>
      <c r="Q1" s="38" t="inlineStr">
        <is>
          <t>Collision Radius</t>
        </is>
      </c>
      <c r="R1" s="38" t="inlineStr">
        <is>
          <t>Max Slope</t>
        </is>
      </c>
      <c r="S1" t="inlineStr">
        <is>
          <t>Animation Profile</t>
        </is>
      </c>
      <c r="T1" s="38" t="inlineStr">
        <is>
          <t>Enabled</t>
        </is>
      </c>
    </row>
    <row r="2">
      <c r="A2" s="1" t="inlineStr">
        <is>
          <t>U-0001</t>
        </is>
      </c>
      <c r="B2" s="1" t="inlineStr">
        <is>
          <t>Robot</t>
        </is>
      </c>
      <c r="C2" s="1" t="inlineStr">
        <is>
          <t>Player</t>
        </is>
      </c>
      <c r="D2" t="inlineStr">
        <is>
          <t>assets\units\robot.glb</t>
        </is>
      </c>
      <c r="E2" s="1" t="n">
        <v>1</v>
      </c>
      <c r="F2" s="1" t="n">
        <v>50</v>
      </c>
      <c r="G2" s="1" t="n">
        <v>11</v>
      </c>
      <c r="H2" s="1" t="n">
        <v>5</v>
      </c>
      <c r="I2" s="1" t="n">
        <v>8</v>
      </c>
      <c r="J2" s="1" t="n">
        <v>12</v>
      </c>
      <c r="K2" s="1" t="n">
        <v>2</v>
      </c>
      <c r="L2" s="1" t="n">
        <v>10</v>
      </c>
      <c r="M2" t="n">
        <v>48</v>
      </c>
      <c r="N2" t="n">
        <v>65.40000000000001</v>
      </c>
      <c r="O2" s="13" t="inlineStr">
        <is>
          <t>Elite</t>
        </is>
      </c>
      <c r="P2" t="n">
        <v>9</v>
      </c>
      <c r="Q2" t="n">
        <v>0.68</v>
      </c>
      <c r="R2" t="n">
        <v>40</v>
      </c>
      <c r="T2" t="inlineStr">
        <is>
          <t>Y</t>
        </is>
      </c>
    </row>
    <row r="3">
      <c r="A3" s="1" t="inlineStr">
        <is>
          <t>U-0002</t>
        </is>
      </c>
      <c r="B3" t="inlineStr">
        <is>
          <t>Fox</t>
        </is>
      </c>
      <c r="C3" t="inlineStr">
        <is>
          <t>Player</t>
        </is>
      </c>
      <c r="D3" t="inlineStr">
        <is>
          <t>assets\units\fox.glb</t>
        </is>
      </c>
      <c r="E3" t="n">
        <v>1</v>
      </c>
      <c r="F3" t="n">
        <v>25</v>
      </c>
      <c r="G3" t="n">
        <v>4</v>
      </c>
      <c r="H3" t="n">
        <v>12</v>
      </c>
      <c r="I3" t="n">
        <v>6</v>
      </c>
      <c r="J3" t="n">
        <v>15</v>
      </c>
      <c r="K3" t="n">
        <v>8</v>
      </c>
      <c r="L3" t="n">
        <v>7</v>
      </c>
      <c r="M3">
        <f>SUM(G3:L3)</f>
        <v/>
      </c>
      <c r="N3" t="n">
        <v>70</v>
      </c>
      <c r="O3" s="13" t="inlineStr">
        <is>
          <t>Creep</t>
        </is>
      </c>
      <c r="P3" t="n">
        <v>14</v>
      </c>
      <c r="Q3" t="n">
        <v>1.25</v>
      </c>
      <c r="R3" t="n">
        <v>50</v>
      </c>
      <c r="S3" t="inlineStr">
        <is>
          <t>fox</t>
        </is>
      </c>
      <c r="T3" t="inlineStr">
        <is>
          <t>Y</t>
        </is>
      </c>
    </row>
    <row r="4">
      <c r="O4" s="13" t="n"/>
    </row>
    <row r="5">
      <c r="O5" s="13" t="n"/>
    </row>
    <row r="6">
      <c r="O6" s="13" t="n"/>
    </row>
    <row r="7">
      <c r="O7" s="13" t="n"/>
    </row>
    <row r="8">
      <c r="O8" s="13" t="n"/>
    </row>
    <row r="9">
      <c r="O9" s="13" t="n"/>
    </row>
    <row r="10">
      <c r="O10" s="13" t="n"/>
    </row>
    <row r="11">
      <c r="O11" s="13" t="n"/>
    </row>
    <row r="12">
      <c r="O12" s="13" t="n"/>
    </row>
    <row r="13">
      <c r="O13" s="13" t="n"/>
    </row>
    <row r="14">
      <c r="O14" s="13" t="n"/>
    </row>
    <row r="15">
      <c r="O15" s="13" t="n"/>
    </row>
    <row r="16">
      <c r="O16" s="13" t="n"/>
    </row>
    <row r="17">
      <c r="O17" s="13" t="n"/>
    </row>
    <row r="18">
      <c r="O18" s="13" t="n"/>
    </row>
    <row r="19">
      <c r="O19" s="13" t="n"/>
    </row>
    <row r="20">
      <c r="O20" s="13" t="n"/>
    </row>
    <row r="21">
      <c r="O21" s="13" t="n"/>
    </row>
    <row r="22">
      <c r="O22" s="13" t="n"/>
    </row>
    <row r="23">
      <c r="O23" s="13" t="n"/>
    </row>
    <row r="24">
      <c r="O24" s="13" t="n"/>
    </row>
    <row r="25">
      <c r="O25" s="13" t="n"/>
    </row>
    <row r="26">
      <c r="A26" s="12" t="n"/>
      <c r="B26" s="12" t="n"/>
      <c r="C26" s="12" t="n"/>
      <c r="D26" s="12" t="n"/>
      <c r="E26" s="12" t="n"/>
      <c r="F26" s="12" t="n"/>
      <c r="G26" s="12" t="n"/>
      <c r="H26" s="12" t="n"/>
      <c r="I26" s="12" t="n"/>
      <c r="J26" s="12" t="n"/>
      <c r="K26" s="12" t="n"/>
      <c r="L26" s="12" t="n"/>
      <c r="M26" s="12" t="n"/>
      <c r="N26" s="12" t="n"/>
      <c r="O26" s="14" t="n"/>
    </row>
    <row r="28" ht="15.75" customHeight="1" s="42">
      <c r="A28" s="7" t="inlineStr">
        <is>
          <t>UNIT STATISTICS</t>
        </is>
      </c>
    </row>
    <row r="29">
      <c r="A29" s="6" t="inlineStr">
        <is>
          <t>Total Units:</t>
        </is>
      </c>
      <c r="B29" s="29">
        <f>COUNTA(A2:A26)</f>
        <v/>
      </c>
      <c r="E29" s="6" t="inlineStr">
        <is>
          <t>Elite Units:</t>
        </is>
      </c>
      <c r="F29" s="30">
        <f>COUNTIF(O2:O26,"Elite")</f>
        <v/>
      </c>
    </row>
    <row r="30">
      <c r="A30" s="6" t="inlineStr">
        <is>
          <t>Avg Power Rating:</t>
        </is>
      </c>
      <c r="B30" s="29">
        <f>ROUND(AVERAGE(N2:N26),1)</f>
        <v/>
      </c>
      <c r="E30" s="6" t="inlineStr">
        <is>
          <t>Veteran Units:</t>
        </is>
      </c>
      <c r="F30" s="30">
        <f>COUNTIF(O2:O26,"Veteran")</f>
        <v/>
      </c>
    </row>
    <row r="31">
      <c r="A31" s="6" t="inlineStr">
        <is>
          <t>Strongest Unit:</t>
        </is>
      </c>
      <c r="B31" s="29">
        <f>INDEX(B2:B26,MATCH(MAX(N2:N26),N2:N26,0))</f>
        <v/>
      </c>
      <c r="E31" s="6" t="inlineStr">
        <is>
          <t>Regular Units:</t>
        </is>
      </c>
      <c r="F31" s="30">
        <f>COUNTIF(O2:O26,"Regular")</f>
        <v/>
      </c>
    </row>
    <row r="32">
      <c r="A32" s="6" t="inlineStr">
        <is>
          <t>Wild Units:</t>
        </is>
      </c>
      <c r="B32" s="29">
        <f>COUNTIF(C2:C26,"Wild")</f>
        <v/>
      </c>
      <c r="E32" s="6" t="inlineStr">
        <is>
          <t>Rookie Units:</t>
        </is>
      </c>
      <c r="F32" s="30">
        <f>COUNTIF(O2:O26,"Rookie")</f>
        <v/>
      </c>
    </row>
    <row r="33">
      <c r="A33" s="6" t="inlineStr">
        <is>
          <t>Bandit Units:</t>
        </is>
      </c>
      <c r="B33" s="29">
        <f>COUNTIF(C2:C26,"Bandits")</f>
        <v/>
      </c>
    </row>
  </sheetData>
  <pageMargins left="0.7" right="0.7" top="0.75" bottom="0.75" header="0.3" footer="0.3"/>
  <pageSetup orientation="portrait" horizontalDpi="0" verticalDpi="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31" min="1" max="1"/>
    <col width="12.5703125" customWidth="1" style="42" min="2" max="2"/>
  </cols>
  <sheetData>
    <row r="1" ht="18" customHeight="1" s="42">
      <c r="A1" s="32" t="inlineStr">
        <is>
          <t>Chasma — Setting Summary</t>
        </is>
      </c>
    </row>
    <row r="3" ht="75" customHeight="1" s="42">
      <c r="A3" s="31"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42">
      <c r="A4" s="31" t="inlineStr">
        <is>
          <t>Today, the wreck remains the most valuable location on the planet. Every major civilization has a different vision for its future, creating a world of uneasy alliances, trade, proxy wars, and territorial conflict.</t>
        </is>
      </c>
    </row>
    <row r="6" ht="18" customHeight="1" s="42">
      <c r="A6" s="32" t="inlineStr">
        <is>
          <t>Humans</t>
        </is>
      </c>
    </row>
    <row r="8" ht="45" customHeight="1" s="42">
      <c r="A8" s="31" t="inlineStr">
        <is>
          <t>The most intelligent and adaptable race, but also the most fractured. Their greatest strength is their potential to recover and understand lost technology. Human factions compete among themselves over how the old world should be rebuilt.</t>
        </is>
      </c>
    </row>
    <row r="9">
      <c r="A9" s="33" t="inlineStr">
        <is>
          <t>Goal: Recover the past and reclaim humanity's lost future.</t>
        </is>
      </c>
    </row>
    <row r="11" ht="18" customHeight="1" s="42">
      <c r="A11" s="32" t="inlineStr">
        <is>
          <t>Y'aratan</t>
        </is>
      </c>
    </row>
    <row r="13" ht="60" customHeight="1" s="42">
      <c r="A13" s="31"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3" t="inlineStr">
        <is>
          <t>Goal: Determine what the Y'aratan will become.</t>
        </is>
      </c>
    </row>
    <row r="16" ht="18" customHeight="1" s="42">
      <c r="A16" s="32" t="inlineStr">
        <is>
          <t>Gra-Gu</t>
        </is>
      </c>
    </row>
    <row r="18" ht="60" customHeight="1" s="42">
      <c r="A18" s="31"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3" t="inlineStr">
        <is>
          <t>Goal: Ensure no one unleashes humanity's former power again.</t>
        </is>
      </c>
    </row>
    <row r="21" ht="18" customHeight="1" s="42">
      <c r="A21" s="32" t="inlineStr">
        <is>
          <t>Rhal</t>
        </is>
      </c>
    </row>
    <row r="23" ht="60" customHeight="1" s="42">
      <c r="A23" s="31"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3" t="inlineStr">
        <is>
          <t>Goal: Preserve movement, trade, and opportunity in a changing world.</t>
        </is>
      </c>
    </row>
    <row r="26" ht="18" customHeight="1" s="42">
      <c r="A26" s="32" t="inlineStr">
        <is>
          <t>Major Conflicts</t>
        </is>
      </c>
    </row>
    <row r="27">
      <c r="A27" s="34" t="n"/>
    </row>
    <row r="28">
      <c r="A28" s="35" t="inlineStr">
        <is>
          <t>Everyone vs The Wilds – The planet is filled with dangerous megafauna and untamed regions.</t>
        </is>
      </c>
    </row>
    <row r="29">
      <c r="A29" s="35" t="inlineStr">
        <is>
          <t>Y'aratan vs Y'aratan – Rival queens compete for territory, ideology, and the future of their species.</t>
        </is>
      </c>
    </row>
    <row r="30">
      <c r="A30" s="35" t="inlineStr">
        <is>
          <t>Humans vs Y'aratan – Conflict over land, resources, and access to technology.</t>
        </is>
      </c>
    </row>
    <row r="31">
      <c r="A31" s="35" t="inlineStr">
        <is>
          <t>Gra-Gu vs Y'aratan – A long-standing cold war born from an ancient conflict over mountain territory.</t>
        </is>
      </c>
    </row>
    <row r="32">
      <c r="A32" s="35" t="inlineStr">
        <is>
          <t>The Wreck – The central question of the setting:</t>
        </is>
      </c>
    </row>
    <row r="33">
      <c r="A33" s="34" t="inlineStr">
        <is>
          <t>Humans want to reclaim it.</t>
        </is>
      </c>
    </row>
    <row r="34">
      <c r="A34" s="34" t="inlineStr">
        <is>
          <t>Some Y'aratan want to exploit it.</t>
        </is>
      </c>
    </row>
    <row r="35">
      <c r="A35" s="34" t="inlineStr">
        <is>
          <t>Others want it sealed away.</t>
        </is>
      </c>
    </row>
    <row r="36">
      <c r="A36" s="34" t="inlineStr">
        <is>
          <t>The Gra-Gu want it destroyed.</t>
        </is>
      </c>
    </row>
    <row r="37">
      <c r="A37" s="34" t="inlineStr">
        <is>
          <t>The Rhal want access to the prosperity it could create.</t>
        </is>
      </c>
    </row>
    <row r="39">
      <c r="A39" s="31" t="inlineStr">
        <is>
          <t>At its heart, Chasma is a world arguing over what should be done with the remnants of a lost future.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sheetData>
    <row r="1" ht="15.75" customHeight="1" s="42" thickBot="1">
      <c r="A1" s="19" t="inlineStr">
        <is>
          <t>Item ID</t>
        </is>
      </c>
      <c r="B1" s="19" t="inlineStr">
        <is>
          <t>Name</t>
        </is>
      </c>
      <c r="C1" s="19" t="inlineStr">
        <is>
          <t>Category</t>
        </is>
      </c>
      <c r="D1" s="19" t="inlineStr">
        <is>
          <t>Stack Size</t>
        </is>
      </c>
      <c r="E1" s="19" t="inlineStr">
        <is>
          <t>Base Value</t>
        </is>
      </c>
      <c r="F1" s="19" t="inlineStr">
        <is>
          <t>Weight</t>
        </is>
      </c>
      <c r="G1" s="19" t="inlineStr">
        <is>
          <t>Rarity</t>
        </is>
      </c>
      <c r="H1" s="19" t="inlineStr">
        <is>
          <t>Craft Recipe</t>
        </is>
      </c>
      <c r="I1" s="19" t="inlineStr">
        <is>
          <t>Description</t>
        </is>
      </c>
      <c r="J1" s="20" t="inlineStr">
        <is>
          <t>Value/Weight</t>
        </is>
      </c>
    </row>
    <row r="2">
      <c r="A2" t="inlineStr">
        <is>
          <t>I-0001</t>
        </is>
      </c>
      <c r="B2" t="inlineStr">
        <is>
          <t>Iron Ore</t>
        </is>
      </c>
      <c r="C2" t="inlineStr">
        <is>
          <t>Material</t>
        </is>
      </c>
      <c r="D2" t="n">
        <v>50</v>
      </c>
      <c r="E2" t="n">
        <v>5</v>
      </c>
      <c r="F2" t="n">
        <v>2</v>
      </c>
      <c r="G2" t="inlineStr">
        <is>
          <t>Common</t>
        </is>
      </c>
      <c r="H2" t="inlineStr">
        <is>
          <t>-</t>
        </is>
      </c>
      <c r="I2" t="inlineStr">
        <is>
          <t>Raw iron for smelting</t>
        </is>
      </c>
      <c r="J2">
        <f>IF(F2&gt;0,ROUND(E2/F2,1),"-")</f>
        <v/>
      </c>
    </row>
    <row r="3">
      <c r="A3" t="inlineStr">
        <is>
          <t>I-0002</t>
        </is>
      </c>
      <c r="B3" t="inlineStr">
        <is>
          <t>Copper Ore</t>
        </is>
      </c>
      <c r="C3" t="inlineStr">
        <is>
          <t>Material</t>
        </is>
      </c>
      <c r="D3" t="n">
        <v>50</v>
      </c>
      <c r="E3" t="n">
        <v>4</v>
      </c>
      <c r="F3" t="n">
        <v>2</v>
      </c>
      <c r="G3" t="inlineStr">
        <is>
          <t>Common</t>
        </is>
      </c>
      <c r="H3" t="inlineStr">
        <is>
          <t>-</t>
        </is>
      </c>
      <c r="I3" t="inlineStr">
        <is>
          <t>Raw copper for smelting</t>
        </is>
      </c>
      <c r="J3">
        <f>IF(F3&gt;0,ROUND(E3/F3,1),"-")</f>
        <v/>
      </c>
    </row>
    <row r="4">
      <c r="A4" t="inlineStr">
        <is>
          <t>I-0003</t>
        </is>
      </c>
      <c r="B4" t="inlineStr">
        <is>
          <t>Iron Bar</t>
        </is>
      </c>
      <c r="C4" t="inlineStr">
        <is>
          <t>Material</t>
        </is>
      </c>
      <c r="D4" t="n">
        <v>20</v>
      </c>
      <c r="E4" t="n">
        <v>15</v>
      </c>
      <c r="F4" t="n">
        <v>3</v>
      </c>
      <c r="G4" t="inlineStr">
        <is>
          <t>Common</t>
        </is>
      </c>
      <c r="H4" t="inlineStr">
        <is>
          <t>2x Iron Ore</t>
        </is>
      </c>
      <c r="I4" t="inlineStr">
        <is>
          <t>Refined iron</t>
        </is>
      </c>
      <c r="J4">
        <f>IF(F4&gt;0,ROUND(E4/F4,1),"-")</f>
        <v/>
      </c>
    </row>
    <row r="5">
      <c r="A5" t="inlineStr">
        <is>
          <t>I-0004</t>
        </is>
      </c>
      <c r="B5" t="inlineStr">
        <is>
          <t>Copper Bar</t>
        </is>
      </c>
      <c r="C5" t="inlineStr">
        <is>
          <t>Material</t>
        </is>
      </c>
      <c r="D5" t="n">
        <v>20</v>
      </c>
      <c r="E5" t="n">
        <v>12</v>
      </c>
      <c r="F5" t="n">
        <v>3</v>
      </c>
      <c r="G5" t="inlineStr">
        <is>
          <t>Common</t>
        </is>
      </c>
      <c r="H5" t="inlineStr">
        <is>
          <t>2x Copper Ore</t>
        </is>
      </c>
      <c r="I5" t="inlineStr">
        <is>
          <t>Refined copper</t>
        </is>
      </c>
      <c r="J5">
        <f>IF(F5&gt;0,ROUND(E5/F5,1),"-")</f>
        <v/>
      </c>
    </row>
    <row r="6">
      <c r="A6" t="inlineStr">
        <is>
          <t>I-0005</t>
        </is>
      </c>
      <c r="B6" t="inlineStr">
        <is>
          <t>Scrap Metal</t>
        </is>
      </c>
      <c r="C6" t="inlineStr">
        <is>
          <t>Material</t>
        </is>
      </c>
      <c r="D6" t="n">
        <v>30</v>
      </c>
      <c r="E6" t="n">
        <v>3</v>
      </c>
      <c r="F6" t="n">
        <v>1</v>
      </c>
      <c r="G6" t="inlineStr">
        <is>
          <t>Common</t>
        </is>
      </c>
      <c r="H6" t="inlineStr">
        <is>
          <t>-</t>
        </is>
      </c>
      <c r="I6" t="inlineStr">
        <is>
          <t>Salvaged metal</t>
        </is>
      </c>
      <c r="J6">
        <f>IF(F6&gt;0,ROUND(E6/F6,1),"-")</f>
        <v/>
      </c>
    </row>
    <row r="7">
      <c r="A7" t="inlineStr">
        <is>
          <t>I-0006</t>
        </is>
      </c>
      <c r="B7" t="inlineStr">
        <is>
          <t>Ancient Parts</t>
        </is>
      </c>
      <c r="C7" t="inlineStr">
        <is>
          <t>Material</t>
        </is>
      </c>
      <c r="D7" t="n">
        <v>10</v>
      </c>
      <c r="E7" t="n">
        <v>100</v>
      </c>
      <c r="F7" t="n">
        <v>1</v>
      </c>
      <c r="G7" t="inlineStr">
        <is>
          <t>Rare</t>
        </is>
      </c>
      <c r="H7" t="inlineStr">
        <is>
          <t>-</t>
        </is>
      </c>
      <c r="I7" t="inlineStr">
        <is>
          <t>Pre-war technology</t>
        </is>
      </c>
      <c r="J7">
        <f>IF(F7&gt;0,ROUND(E7/F7,1),"-")</f>
        <v/>
      </c>
    </row>
    <row r="8">
      <c r="A8" t="inlineStr">
        <is>
          <t>I-0007</t>
        </is>
      </c>
      <c r="B8" t="inlineStr">
        <is>
          <t>Electronics</t>
        </is>
      </c>
      <c r="C8" t="inlineStr">
        <is>
          <t>Material</t>
        </is>
      </c>
      <c r="D8" t="n">
        <v>15</v>
      </c>
      <c r="E8" t="n">
        <v>50</v>
      </c>
      <c r="F8" t="n">
        <v>0.5</v>
      </c>
      <c r="G8" t="inlineStr">
        <is>
          <t>Uncommon</t>
        </is>
      </c>
      <c r="H8" t="inlineStr">
        <is>
          <t>-</t>
        </is>
      </c>
      <c r="I8" t="inlineStr">
        <is>
          <t>Circuits and wires</t>
        </is>
      </c>
      <c r="J8">
        <f>IF(F8&gt;0,ROUND(E8/F8,1),"-")</f>
        <v/>
      </c>
    </row>
    <row r="9">
      <c r="A9" t="inlineStr">
        <is>
          <t>I-0008</t>
        </is>
      </c>
      <c r="B9" t="inlineStr">
        <is>
          <t>Wood</t>
        </is>
      </c>
      <c r="C9" t="inlineStr">
        <is>
          <t>Material</t>
        </is>
      </c>
      <c r="D9" t="n">
        <v>50</v>
      </c>
      <c r="E9" t="n">
        <v>2</v>
      </c>
      <c r="F9" t="n">
        <v>2</v>
      </c>
      <c r="G9" t="inlineStr">
        <is>
          <t>Common</t>
        </is>
      </c>
      <c r="H9" t="inlineStr">
        <is>
          <t>-</t>
        </is>
      </c>
      <c r="I9" t="inlineStr">
        <is>
          <t>Building material</t>
        </is>
      </c>
      <c r="J9">
        <f>IF(F9&gt;0,ROUND(E9/F9,1),"-")</f>
        <v/>
      </c>
    </row>
    <row r="10">
      <c r="A10" t="inlineStr">
        <is>
          <t>I-0009</t>
        </is>
      </c>
      <c r="B10" t="inlineStr">
        <is>
          <t>Stone</t>
        </is>
      </c>
      <c r="C10" t="inlineStr">
        <is>
          <t>Material</t>
        </is>
      </c>
      <c r="D10" t="n">
        <v>50</v>
      </c>
      <c r="E10" t="n">
        <v>1</v>
      </c>
      <c r="F10" t="n">
        <v>3</v>
      </c>
      <c r="G10" t="inlineStr">
        <is>
          <t>Common</t>
        </is>
      </c>
      <c r="H10" t="inlineStr">
        <is>
          <t>-</t>
        </is>
      </c>
      <c r="I10" t="inlineStr">
        <is>
          <t>Building material</t>
        </is>
      </c>
      <c r="J10">
        <f>IF(F10&gt;0,ROUND(E10/F10,1),"-")</f>
        <v/>
      </c>
    </row>
    <row r="11">
      <c r="A11" t="inlineStr">
        <is>
          <t>I-0010</t>
        </is>
      </c>
      <c r="B11" t="inlineStr">
        <is>
          <t>Plant Fiber</t>
        </is>
      </c>
      <c r="C11" t="inlineStr">
        <is>
          <t>Material</t>
        </is>
      </c>
      <c r="D11" t="n">
        <v>50</v>
      </c>
      <c r="E11" t="n">
        <v>1</v>
      </c>
      <c r="F11" t="n">
        <v>0.2</v>
      </c>
      <c r="G11" t="inlineStr">
        <is>
          <t>Common</t>
        </is>
      </c>
      <c r="H11" t="inlineStr">
        <is>
          <t>-</t>
        </is>
      </c>
      <c r="I11" t="inlineStr">
        <is>
          <t>For bandages and rope</t>
        </is>
      </c>
      <c r="J11">
        <f>IF(F11&gt;0,ROUND(E11/F11,1),"-")</f>
        <v/>
      </c>
    </row>
    <row r="12">
      <c r="A12" t="inlineStr">
        <is>
          <t>I-0011</t>
        </is>
      </c>
      <c r="B12" t="inlineStr">
        <is>
          <t>Rusty Sword</t>
        </is>
      </c>
      <c r="C12" t="inlineStr">
        <is>
          <t>Weapon</t>
        </is>
      </c>
      <c r="D12" t="n">
        <v>1</v>
      </c>
      <c r="E12" t="n">
        <v>50</v>
      </c>
      <c r="F12" t="n">
        <v>4</v>
      </c>
      <c r="G12" t="inlineStr">
        <is>
          <t>Common</t>
        </is>
      </c>
      <c r="H12" t="inlineStr">
        <is>
          <t>-</t>
        </is>
      </c>
      <c r="I12" t="inlineStr">
        <is>
          <t>Basic melee weapon</t>
        </is>
      </c>
      <c r="J12">
        <f>IF(F12&gt;0,ROUND(E12/F12,1),"-")</f>
        <v/>
      </c>
    </row>
    <row r="13">
      <c r="A13" t="inlineStr">
        <is>
          <t>I-0012</t>
        </is>
      </c>
      <c r="B13" t="inlineStr">
        <is>
          <t>Iron Sword</t>
        </is>
      </c>
      <c r="C13" t="inlineStr">
        <is>
          <t>Weapon</t>
        </is>
      </c>
      <c r="D13" t="n">
        <v>1</v>
      </c>
      <c r="E13" t="n">
        <v>150</v>
      </c>
      <c r="F13" t="n">
        <v>4</v>
      </c>
      <c r="G13" t="inlineStr">
        <is>
          <t>Uncommon</t>
        </is>
      </c>
      <c r="H13" t="inlineStr">
        <is>
          <t>5x Iron Bar</t>
        </is>
      </c>
      <c r="I13" t="inlineStr">
        <is>
          <t>Reliable blade</t>
        </is>
      </c>
      <c r="J13">
        <f>IF(F13&gt;0,ROUND(E13/F13,1),"-")</f>
        <v/>
      </c>
    </row>
    <row r="14">
      <c r="A14" t="inlineStr">
        <is>
          <t>I-0013</t>
        </is>
      </c>
      <c r="B14" t="inlineStr">
        <is>
          <t>Machete</t>
        </is>
      </c>
      <c r="C14" t="inlineStr">
        <is>
          <t>Weapon</t>
        </is>
      </c>
      <c r="D14" t="n">
        <v>1</v>
      </c>
      <c r="E14" t="n">
        <v>80</v>
      </c>
      <c r="F14" t="n">
        <v>3</v>
      </c>
      <c r="G14" t="inlineStr">
        <is>
          <t>Common</t>
        </is>
      </c>
      <c r="H14" t="inlineStr">
        <is>
          <t>3x Iron Bar</t>
        </is>
      </c>
      <c r="I14" t="inlineStr">
        <is>
          <t>Fast slashing weapon</t>
        </is>
      </c>
      <c r="J14">
        <f>IF(F14&gt;0,ROUND(E14/F14,1),"-")</f>
        <v/>
      </c>
    </row>
    <row r="15">
      <c r="A15" t="inlineStr">
        <is>
          <t>I-0014</t>
        </is>
      </c>
      <c r="B15" t="inlineStr">
        <is>
          <t>Sledgehammer</t>
        </is>
      </c>
      <c r="C15" t="inlineStr">
        <is>
          <t>Weapon</t>
        </is>
      </c>
      <c r="D15" t="n">
        <v>1</v>
      </c>
      <c r="E15" t="n">
        <v>120</v>
      </c>
      <c r="F15" t="n">
        <v>8</v>
      </c>
      <c r="G15" t="inlineStr">
        <is>
          <t>Uncommon</t>
        </is>
      </c>
      <c r="H15" t="inlineStr">
        <is>
          <t>4x Iron Bar, 2x Wood</t>
        </is>
      </c>
      <c r="I15" t="inlineStr">
        <is>
          <t>Heavy blunt weapon</t>
        </is>
      </c>
      <c r="J15">
        <f>IF(F15&gt;0,ROUND(E15/F15,1),"-")</f>
        <v/>
      </c>
    </row>
    <row r="16">
      <c r="A16" t="inlineStr">
        <is>
          <t>I-0015</t>
        </is>
      </c>
      <c r="B16" t="inlineStr">
        <is>
          <t>Crossbow</t>
        </is>
      </c>
      <c r="C16" t="inlineStr">
        <is>
          <t>Weapon</t>
        </is>
      </c>
      <c r="D16" t="n">
        <v>1</v>
      </c>
      <c r="E16" t="n">
        <v>200</v>
      </c>
      <c r="F16" t="n">
        <v>5</v>
      </c>
      <c r="G16" t="inlineStr">
        <is>
          <t>Uncommon</t>
        </is>
      </c>
      <c r="H16" t="inlineStr">
        <is>
          <t>3x Iron Bar, 4x Wood</t>
        </is>
      </c>
      <c r="I16" t="inlineStr">
        <is>
          <t>Ranged weapon</t>
        </is>
      </c>
      <c r="J16">
        <f>IF(F16&gt;0,ROUND(E16/F16,1),"-")</f>
        <v/>
      </c>
    </row>
    <row r="17">
      <c r="A17" t="inlineStr">
        <is>
          <t>I-0016</t>
        </is>
      </c>
      <c r="B17" t="inlineStr">
        <is>
          <t>Bolt</t>
        </is>
      </c>
      <c r="C17" t="inlineStr">
        <is>
          <t>Ammo</t>
        </is>
      </c>
      <c r="D17" t="n">
        <v>50</v>
      </c>
      <c r="E17" t="n">
        <v>2</v>
      </c>
      <c r="F17" t="n">
        <v>0.1</v>
      </c>
      <c r="G17" t="inlineStr">
        <is>
          <t>Common</t>
        </is>
      </c>
      <c r="H17" t="inlineStr">
        <is>
          <t>1x Iron Bar = 10</t>
        </is>
      </c>
      <c r="I17" t="inlineStr">
        <is>
          <t>Crossbow ammo</t>
        </is>
      </c>
      <c r="J17">
        <f>IF(F17&gt;0,ROUND(E17/F17,1),"-")</f>
        <v/>
      </c>
    </row>
    <row r="18">
      <c r="A18" t="inlineStr">
        <is>
          <t>I-0017</t>
        </is>
      </c>
      <c r="B18" t="inlineStr">
        <is>
          <t>Ragged Clothes</t>
        </is>
      </c>
      <c r="C18" t="inlineStr">
        <is>
          <t>Armor</t>
        </is>
      </c>
      <c r="D18" t="n">
        <v>1</v>
      </c>
      <c r="E18" t="n">
        <v>10</v>
      </c>
      <c r="F18" t="n">
        <v>2</v>
      </c>
      <c r="G18" t="inlineStr">
        <is>
          <t>Common</t>
        </is>
      </c>
      <c r="H18" t="inlineStr">
        <is>
          <t>-</t>
        </is>
      </c>
      <c r="I18" t="inlineStr">
        <is>
          <t>Barely protection</t>
        </is>
      </c>
      <c r="J18">
        <f>IF(F18&gt;0,ROUND(E18/F18,1),"-")</f>
        <v/>
      </c>
    </row>
    <row r="19">
      <c r="A19" t="inlineStr">
        <is>
          <t>I-0018</t>
        </is>
      </c>
      <c r="B19" t="inlineStr">
        <is>
          <t>Leather Armor</t>
        </is>
      </c>
      <c r="C19" t="inlineStr">
        <is>
          <t>Armor</t>
        </is>
      </c>
      <c r="D19" t="n">
        <v>1</v>
      </c>
      <c r="E19" t="n">
        <v>100</v>
      </c>
      <c r="F19" t="n">
        <v>6</v>
      </c>
      <c r="G19" t="inlineStr">
        <is>
          <t>Common</t>
        </is>
      </c>
      <c r="H19" t="inlineStr">
        <is>
          <t>5x Leather</t>
        </is>
      </c>
      <c r="I19" t="inlineStr">
        <is>
          <t>Light protection</t>
        </is>
      </c>
      <c r="J19">
        <f>IF(F19&gt;0,ROUND(E19/F19,1),"-")</f>
        <v/>
      </c>
    </row>
    <row r="20">
      <c r="A20" t="inlineStr">
        <is>
          <t>I-0019</t>
        </is>
      </c>
      <c r="B20" t="inlineStr">
        <is>
          <t>Iron Plate Armor</t>
        </is>
      </c>
      <c r="C20" t="inlineStr">
        <is>
          <t>Armor</t>
        </is>
      </c>
      <c r="D20" t="n">
        <v>1</v>
      </c>
      <c r="E20" t="n">
        <v>300</v>
      </c>
      <c r="F20" t="n">
        <v>15</v>
      </c>
      <c r="G20" t="inlineStr">
        <is>
          <t>Uncommon</t>
        </is>
      </c>
      <c r="H20" t="inlineStr">
        <is>
          <t>10x Iron Bar</t>
        </is>
      </c>
      <c r="I20" t="inlineStr">
        <is>
          <t>Heavy protection</t>
        </is>
      </c>
      <c r="J20">
        <f>IF(F20&gt;0,ROUND(E20/F20,1),"-")</f>
        <v/>
      </c>
    </row>
    <row r="21">
      <c r="A21" t="inlineStr">
        <is>
          <t>I-0020</t>
        </is>
      </c>
      <c r="B21" t="inlineStr">
        <is>
          <t>Bandage</t>
        </is>
      </c>
      <c r="C21" t="inlineStr">
        <is>
          <t>Consumable</t>
        </is>
      </c>
      <c r="D21" t="n">
        <v>20</v>
      </c>
      <c r="E21" t="n">
        <v>5</v>
      </c>
      <c r="F21" t="n">
        <v>0.1</v>
      </c>
      <c r="G21" t="inlineStr">
        <is>
          <t>Common</t>
        </is>
      </c>
      <c r="H21" t="inlineStr">
        <is>
          <t>2x Plant Fiber</t>
        </is>
      </c>
      <c r="I21" t="inlineStr">
        <is>
          <t>Heals 10 HP</t>
        </is>
      </c>
      <c r="J21">
        <f>IF(F21&gt;0,ROUND(E21/F21,1),"-")</f>
        <v/>
      </c>
    </row>
    <row r="22">
      <c r="A22" t="inlineStr">
        <is>
          <t>I-0021</t>
        </is>
      </c>
      <c r="B22" t="inlineStr">
        <is>
          <t>Med Kit</t>
        </is>
      </c>
      <c r="C22" t="inlineStr">
        <is>
          <t>Consumable</t>
        </is>
      </c>
      <c r="D22" t="n">
        <v>10</v>
      </c>
      <c r="E22" t="n">
        <v>50</v>
      </c>
      <c r="F22" t="n">
        <v>0.5</v>
      </c>
      <c r="G22" t="inlineStr">
        <is>
          <t>Uncommon</t>
        </is>
      </c>
      <c r="H22" t="inlineStr">
        <is>
          <t>5x Bandage, Alcohol</t>
        </is>
      </c>
      <c r="I22" t="inlineStr">
        <is>
          <t>Heals 50 HP</t>
        </is>
      </c>
      <c r="J22">
        <f>IF(F22&gt;0,ROUND(E22/F22,1),"-")</f>
        <v/>
      </c>
    </row>
    <row r="23">
      <c r="A23" t="inlineStr">
        <is>
          <t>I-0022</t>
        </is>
      </c>
      <c r="B23" t="inlineStr">
        <is>
          <t>Dried Meat</t>
        </is>
      </c>
      <c r="C23" t="inlineStr">
        <is>
          <t>Food</t>
        </is>
      </c>
      <c r="D23" t="n">
        <v>20</v>
      </c>
      <c r="E23" t="n">
        <v>8</v>
      </c>
      <c r="F23" t="n">
        <v>0.3</v>
      </c>
      <c r="G23" t="inlineStr">
        <is>
          <t>Common</t>
        </is>
      </c>
      <c r="H23" t="inlineStr">
        <is>
          <t>1x Raw Meat</t>
        </is>
      </c>
      <c r="I23" t="inlineStr">
        <is>
          <t>Restores 20 hunger</t>
        </is>
      </c>
      <c r="J23">
        <f>IF(F23&gt;0,ROUND(E23/F23,1),"-")</f>
        <v/>
      </c>
    </row>
    <row r="24">
      <c r="A24" t="inlineStr">
        <is>
          <t>I-0023</t>
        </is>
      </c>
      <c r="B24" t="inlineStr">
        <is>
          <t>Cactus Flesh</t>
        </is>
      </c>
      <c r="C24" t="inlineStr">
        <is>
          <t>Food</t>
        </is>
      </c>
      <c r="D24" t="n">
        <v>20</v>
      </c>
      <c r="E24" t="n">
        <v>3</v>
      </c>
      <c r="F24" t="n">
        <v>0.2</v>
      </c>
      <c r="G24" t="inlineStr">
        <is>
          <t>Common</t>
        </is>
      </c>
      <c r="H24" t="inlineStr">
        <is>
          <t>-</t>
        </is>
      </c>
      <c r="I24" t="inlineStr">
        <is>
          <t>Restores 10 hunger</t>
        </is>
      </c>
      <c r="J24">
        <f>IF(F24&gt;0,ROUND(E24/F24,1),"-")</f>
        <v/>
      </c>
    </row>
    <row r="25">
      <c r="A25" t="inlineStr">
        <is>
          <t>I-0024</t>
        </is>
      </c>
      <c r="B25" t="inlineStr">
        <is>
          <t>Water Flask</t>
        </is>
      </c>
      <c r="C25" t="inlineStr">
        <is>
          <t>Consumable</t>
        </is>
      </c>
      <c r="D25" t="n">
        <v>5</v>
      </c>
      <c r="E25" t="n">
        <v>15</v>
      </c>
      <c r="F25" t="n">
        <v>1</v>
      </c>
      <c r="G25" t="inlineStr">
        <is>
          <t>Common</t>
        </is>
      </c>
      <c r="H25" t="inlineStr">
        <is>
          <t>2x Leather</t>
        </is>
      </c>
      <c r="I25" t="inlineStr">
        <is>
          <t>Holds water</t>
        </is>
      </c>
      <c r="J25">
        <f>IF(F25&gt;0,ROUND(E25/F25,1),"-")</f>
        <v/>
      </c>
    </row>
    <row r="26">
      <c r="A26" s="12" t="inlineStr">
        <is>
          <t>I-0025</t>
        </is>
      </c>
      <c r="B26" s="12" t="inlineStr">
        <is>
          <t>Data Chip</t>
        </is>
      </c>
      <c r="C26" s="12" t="inlineStr">
        <is>
          <t>Quest</t>
        </is>
      </c>
      <c r="D26" s="12" t="n">
        <v>5</v>
      </c>
      <c r="E26" s="12" t="n">
        <v>500</v>
      </c>
      <c r="F26" s="12" t="n">
        <v>0.1</v>
      </c>
      <c r="G26" s="12" t="inlineStr">
        <is>
          <t>Rare</t>
        </is>
      </c>
      <c r="H26" s="12" t="inlineStr">
        <is>
          <t>-</t>
        </is>
      </c>
      <c r="I26" s="12" t="inlineStr">
        <is>
          <t>Contains ancient data</t>
        </is>
      </c>
      <c r="J26" s="12">
        <f>IF(F26&gt;0,ROUND(E26/F26,1),"-")</f>
        <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M9" sqref="M9"/>
    </sheetView>
  </sheetViews>
  <sheetFormatPr baseColWidth="8" defaultRowHeight="15"/>
  <cols>
    <col width="13.42578125" customWidth="1" style="42" min="1" max="1"/>
    <col width="17.85546875" bestFit="1" customWidth="1" style="42" min="2" max="2"/>
    <col width="39.42578125" customWidth="1" style="42" min="3" max="3"/>
    <col width="18.28515625" customWidth="1" style="42" min="5" max="5"/>
    <col width="17.28515625" bestFit="1" customWidth="1" style="42" min="6" max="7"/>
    <col width="17.28515625" customWidth="1" style="42" min="8" max="8"/>
    <col width="18.28515625" customWidth="1" style="42" min="9" max="9"/>
  </cols>
  <sheetData>
    <row r="1">
      <c r="A1" s="9" t="inlineStr">
        <is>
          <t>Doodad ID</t>
        </is>
      </c>
      <c r="B1" s="9" t="inlineStr">
        <is>
          <t>Name</t>
        </is>
      </c>
      <c r="C1" s="9" t="inlineStr">
        <is>
          <t>Description</t>
        </is>
      </c>
      <c r="D1" s="9" t="inlineStr">
        <is>
          <t>Category</t>
        </is>
      </c>
      <c r="E1" s="9" t="inlineStr">
        <is>
          <t>File Path</t>
        </is>
      </c>
      <c r="F1" s="9" t="inlineStr">
        <is>
          <t>Min Size</t>
        </is>
      </c>
      <c r="G1" s="9" t="inlineStr">
        <is>
          <t>Max Size</t>
        </is>
      </c>
      <c r="H1" s="9" t="inlineStr">
        <is>
          <t>Spawn Weight</t>
        </is>
      </c>
      <c r="I1" s="9" t="inlineStr">
        <is>
          <t>Random Rotation</t>
        </is>
      </c>
      <c r="J1" s="36"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s="22" t="inlineStr">
        <is>
          <t>Faction ID</t>
        </is>
      </c>
      <c r="B1" s="22" t="inlineStr">
        <is>
          <t>Name</t>
        </is>
      </c>
      <c r="C1" s="22" t="inlineStr">
        <is>
          <t>Disposition</t>
        </is>
      </c>
      <c r="D1" s="22" t="inlineStr">
        <is>
          <t>Territory</t>
        </is>
      </c>
      <c r="E1" s="22" t="inlineStr">
        <is>
          <t>Strength</t>
        </is>
      </c>
      <c r="F1" s="22" t="inlineStr">
        <is>
          <t>Trade?</t>
        </is>
      </c>
      <c r="G1" s="22" t="inlineStr">
        <is>
          <t>Recruitable?</t>
        </is>
      </c>
      <c r="H1" s="22" t="inlineStr">
        <is>
          <t>Description</t>
        </is>
      </c>
    </row>
    <row r="2">
      <c r="A2" t="inlineStr">
        <is>
          <t>F-0001</t>
        </is>
      </c>
      <c r="B2" t="inlineStr">
        <is>
          <t>Player</t>
        </is>
      </c>
      <c r="C2" t="inlineStr">
        <is>
          <t>N/A</t>
        </is>
      </c>
      <c r="D2" t="inlineStr">
        <is>
          <t>Variable</t>
        </is>
      </c>
      <c r="E2" t="inlineStr">
        <is>
          <t>Variable</t>
        </is>
      </c>
      <c r="F2" t="inlineStr">
        <is>
          <t>No</t>
        </is>
      </c>
      <c r="G2" t="inlineStr">
        <is>
          <t>Yes</t>
        </is>
      </c>
      <c r="H2" t="inlineStr">
        <is>
          <t>The player's faction</t>
        </is>
      </c>
    </row>
    <row r="3">
      <c r="A3" t="inlineStr">
        <is>
          <t>F-0002</t>
        </is>
      </c>
      <c r="B3" t="inlineStr">
        <is>
          <t>Wild</t>
        </is>
      </c>
      <c r="C3" t="inlineStr">
        <is>
          <t>Hostile</t>
        </is>
      </c>
      <c r="D3" t="inlineStr">
        <is>
          <t>Wilderness</t>
        </is>
      </c>
      <c r="E3" t="inlineStr">
        <is>
          <t>High</t>
        </is>
      </c>
      <c r="F3" t="inlineStr">
        <is>
          <t>No</t>
        </is>
      </c>
      <c r="G3" t="inlineStr">
        <is>
          <t>No</t>
        </is>
      </c>
      <c r="H3" t="inlineStr">
        <is>
          <t>Wild creatures and beasts</t>
        </is>
      </c>
    </row>
    <row r="4">
      <c r="A4" t="inlineStr">
        <is>
          <t>F-0003</t>
        </is>
      </c>
      <c r="B4" t="inlineStr">
        <is>
          <t>Bandits</t>
        </is>
      </c>
      <c r="C4" t="inlineStr">
        <is>
          <t>Hostile</t>
        </is>
      </c>
      <c r="D4" t="inlineStr">
        <is>
          <t>Roads, Ruins</t>
        </is>
      </c>
      <c r="E4" t="inlineStr">
        <is>
          <t>Medium</t>
        </is>
      </c>
      <c r="F4" t="inlineStr">
        <is>
          <t>No</t>
        </is>
      </c>
      <c r="G4" t="inlineStr">
        <is>
          <t>No</t>
        </is>
      </c>
      <c r="H4" t="inlineStr">
        <is>
          <t>Opportunistic raiders</t>
        </is>
      </c>
    </row>
    <row r="5">
      <c r="A5" t="inlineStr">
        <is>
          <t>F-0004</t>
        </is>
      </c>
      <c r="B5" t="inlineStr">
        <is>
          <t>Raiders</t>
        </is>
      </c>
      <c r="C5" t="inlineStr">
        <is>
          <t>Hostile</t>
        </is>
      </c>
      <c r="D5" t="inlineStr">
        <is>
          <t>Badlands</t>
        </is>
      </c>
      <c r="E5" t="inlineStr">
        <is>
          <t>High</t>
        </is>
      </c>
      <c r="F5" t="inlineStr">
        <is>
          <t>No</t>
        </is>
      </c>
      <c r="G5" t="inlineStr">
        <is>
          <t>Yes</t>
        </is>
      </c>
      <c r="H5" t="inlineStr">
        <is>
          <t>Organized criminal group</t>
        </is>
      </c>
    </row>
    <row r="6">
      <c r="A6" t="inlineStr">
        <is>
          <t>F-0005</t>
        </is>
      </c>
      <c r="B6" t="inlineStr">
        <is>
          <t>Nomads</t>
        </is>
      </c>
      <c r="C6" t="inlineStr">
        <is>
          <t>Neutral</t>
        </is>
      </c>
      <c r="D6" t="inlineStr">
        <is>
          <t>Desert</t>
        </is>
      </c>
      <c r="E6" t="inlineStr">
        <is>
          <t>Low</t>
        </is>
      </c>
      <c r="F6" t="inlineStr">
        <is>
          <t>Yes</t>
        </is>
      </c>
      <c r="G6" t="inlineStr">
        <is>
          <t>Yes</t>
        </is>
      </c>
      <c r="H6" t="inlineStr">
        <is>
          <t>Wandering traders</t>
        </is>
      </c>
    </row>
    <row r="7">
      <c r="A7" t="inlineStr">
        <is>
          <t>F-0006</t>
        </is>
      </c>
      <c r="B7" t="inlineStr">
        <is>
          <t>Town</t>
        </is>
      </c>
      <c r="C7" t="inlineStr">
        <is>
          <t>Friendly</t>
        </is>
      </c>
      <c r="D7" t="inlineStr">
        <is>
          <t>Settlements</t>
        </is>
      </c>
      <c r="E7" t="inlineStr">
        <is>
          <t>Medium</t>
        </is>
      </c>
      <c r="F7" t="inlineStr">
        <is>
          <t>Yes</t>
        </is>
      </c>
      <c r="G7" t="inlineStr">
        <is>
          <t>Yes</t>
        </is>
      </c>
      <c r="H7" t="inlineStr">
        <is>
          <t>Civilization survivors</t>
        </is>
      </c>
    </row>
    <row r="8">
      <c r="A8" t="inlineStr">
        <is>
          <t>F-0007</t>
        </is>
      </c>
      <c r="B8" t="inlineStr">
        <is>
          <t>Slavers</t>
        </is>
      </c>
      <c r="C8" t="inlineStr">
        <is>
          <t>Hostile</t>
        </is>
      </c>
      <c r="D8" t="inlineStr">
        <is>
          <t>Slave camps</t>
        </is>
      </c>
      <c r="E8" t="inlineStr">
        <is>
          <t>High</t>
        </is>
      </c>
      <c r="F8" t="inlineStr">
        <is>
          <t>Yes</t>
        </is>
      </c>
      <c r="G8" t="inlineStr">
        <is>
          <t>No</t>
        </is>
      </c>
      <c r="H8" t="inlineStr">
        <is>
          <t>Human traffickers</t>
        </is>
      </c>
    </row>
    <row r="9">
      <c r="A9" t="inlineStr">
        <is>
          <t>F-0008</t>
        </is>
      </c>
      <c r="B9" t="inlineStr">
        <is>
          <t>Tech Hunters</t>
        </is>
      </c>
      <c r="C9" t="inlineStr">
        <is>
          <t>Neutral</t>
        </is>
      </c>
      <c r="D9" t="inlineStr">
        <is>
          <t>Ruins</t>
        </is>
      </c>
      <c r="E9" t="inlineStr">
        <is>
          <t>Medium</t>
        </is>
      </c>
      <c r="F9" t="inlineStr">
        <is>
          <t>Yes</t>
        </is>
      </c>
      <c r="G9" t="inlineStr">
        <is>
          <t>Yes</t>
        </is>
      </c>
      <c r="H9" t="inlineStr">
        <is>
          <t>Relic seekers</t>
        </is>
      </c>
    </row>
    <row r="10">
      <c r="A10" t="inlineStr">
        <is>
          <t>F-0009</t>
        </is>
      </c>
      <c r="B10" t="inlineStr">
        <is>
          <t>Scavs</t>
        </is>
      </c>
      <c r="C10" t="inlineStr">
        <is>
          <t>Neutral</t>
        </is>
      </c>
      <c r="D10" t="inlineStr">
        <is>
          <t>Everywhere</t>
        </is>
      </c>
      <c r="E10" t="inlineStr">
        <is>
          <t>Low</t>
        </is>
      </c>
      <c r="F10" t="inlineStr">
        <is>
          <t>Yes</t>
        </is>
      </c>
      <c r="G10" t="inlineStr">
        <is>
          <t>Yes</t>
        </is>
      </c>
      <c r="H10" t="inlineStr">
        <is>
          <t>Scrap collectors</t>
        </is>
      </c>
    </row>
    <row r="11">
      <c r="A11" s="12" t="inlineStr">
        <is>
          <t>F-0010</t>
        </is>
      </c>
      <c r="B11" s="12" t="inlineStr">
        <is>
          <t>The Dominion</t>
        </is>
      </c>
      <c r="C11" s="12" t="inlineStr">
        <is>
          <t>Hostile</t>
        </is>
      </c>
      <c r="D11" s="12" t="inlineStr">
        <is>
          <t>East Chasma</t>
        </is>
      </c>
      <c r="E11" s="12" t="inlineStr">
        <is>
          <t>Very High</t>
        </is>
      </c>
      <c r="F11" s="12" t="inlineStr">
        <is>
          <t>No</t>
        </is>
      </c>
      <c r="G11" s="12" t="inlineStr">
        <is>
          <t>No</t>
        </is>
      </c>
      <c r="H11" s="12" t="inlineStr">
        <is>
          <t>Authoritarian empire</t>
        </is>
      </c>
    </row>
    <row r="14" ht="15.75" customHeight="1" s="42">
      <c r="A14" s="7" t="inlineStr">
        <is>
          <t>FACTION RELATIONSHIPS</t>
        </is>
      </c>
    </row>
    <row r="15">
      <c r="A15" s="22" t="inlineStr">
        <is>
          <t>From \ To</t>
        </is>
      </c>
      <c r="B15" s="22" t="inlineStr">
        <is>
          <t>Bandits</t>
        </is>
      </c>
      <c r="C15" s="22" t="inlineStr">
        <is>
          <t>Nomads</t>
        </is>
      </c>
      <c r="D15" s="22" t="inlineStr">
        <is>
          <t>Town</t>
        </is>
      </c>
      <c r="E15" s="22" t="inlineStr">
        <is>
          <t>Slavers</t>
        </is>
      </c>
      <c r="F15" s="25" t="inlineStr">
        <is>
          <t>Tech Hunters</t>
        </is>
      </c>
    </row>
    <row r="16">
      <c r="A16" s="23" t="inlineStr">
        <is>
          <t>Bandits</t>
        </is>
      </c>
      <c r="B16" t="inlineStr">
        <is>
          <t>-</t>
        </is>
      </c>
      <c r="C16" t="inlineStr">
        <is>
          <t>Hostile</t>
        </is>
      </c>
      <c r="D16" t="inlineStr">
        <is>
          <t>Hostile</t>
        </is>
      </c>
      <c r="E16" t="inlineStr">
        <is>
          <t>Neutral</t>
        </is>
      </c>
      <c r="F16" s="13" t="inlineStr">
        <is>
          <t>Hostile</t>
        </is>
      </c>
    </row>
    <row r="17">
      <c r="A17" s="23" t="inlineStr">
        <is>
          <t>Nomads</t>
        </is>
      </c>
      <c r="B17" t="inlineStr">
        <is>
          <t>Hostile</t>
        </is>
      </c>
      <c r="C17" t="inlineStr">
        <is>
          <t>-</t>
        </is>
      </c>
      <c r="D17" t="inlineStr">
        <is>
          <t>Friendly</t>
        </is>
      </c>
      <c r="E17" t="inlineStr">
        <is>
          <t>Hostile</t>
        </is>
      </c>
      <c r="F17" s="13" t="inlineStr">
        <is>
          <t>Neutral</t>
        </is>
      </c>
    </row>
    <row r="18">
      <c r="A18" s="23" t="inlineStr">
        <is>
          <t>Town</t>
        </is>
      </c>
      <c r="B18" t="inlineStr">
        <is>
          <t>Hostile</t>
        </is>
      </c>
      <c r="C18" t="inlineStr">
        <is>
          <t>Friendly</t>
        </is>
      </c>
      <c r="D18" t="inlineStr">
        <is>
          <t>-</t>
        </is>
      </c>
      <c r="E18" t="inlineStr">
        <is>
          <t>Hostile</t>
        </is>
      </c>
      <c r="F18" s="13" t="inlineStr">
        <is>
          <t>Friendly</t>
        </is>
      </c>
    </row>
    <row r="19">
      <c r="A19" s="23" t="inlineStr">
        <is>
          <t>Slavers</t>
        </is>
      </c>
      <c r="B19" t="inlineStr">
        <is>
          <t>Neutral</t>
        </is>
      </c>
      <c r="C19" t="inlineStr">
        <is>
          <t>Hostile</t>
        </is>
      </c>
      <c r="D19" t="inlineStr">
        <is>
          <t>Hostile</t>
        </is>
      </c>
      <c r="E19" t="inlineStr">
        <is>
          <t>-</t>
        </is>
      </c>
      <c r="F19" s="13" t="inlineStr">
        <is>
          <t>Neutral</t>
        </is>
      </c>
    </row>
    <row r="20">
      <c r="A20" s="24" t="inlineStr">
        <is>
          <t>Tech Hunters</t>
        </is>
      </c>
      <c r="B20" s="12" t="inlineStr">
        <is>
          <t>Hostile</t>
        </is>
      </c>
      <c r="C20" s="12" t="inlineStr">
        <is>
          <t>Neutral</t>
        </is>
      </c>
      <c r="D20" s="12" t="inlineStr">
        <is>
          <t>Friendly</t>
        </is>
      </c>
      <c r="E20" s="12" t="inlineStr">
        <is>
          <t>Neutral</t>
        </is>
      </c>
      <c r="F20" s="14" t="inlineStr">
        <is>
          <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6" t="inlineStr">
        <is>
          <t>Biome ID</t>
        </is>
      </c>
      <c r="B1" s="26" t="inlineStr">
        <is>
          <t>Name</t>
        </is>
      </c>
      <c r="C1" s="26" t="inlineStr">
        <is>
          <t>Temperature</t>
        </is>
      </c>
      <c r="D1" s="26" t="inlineStr">
        <is>
          <t>Danger Level</t>
        </is>
      </c>
      <c r="E1" s="26" t="inlineStr">
        <is>
          <t>Water Avail.</t>
        </is>
      </c>
      <c r="F1" s="26" t="inlineStr">
        <is>
          <t>Resources</t>
        </is>
      </c>
      <c r="G1" s="26" t="inlineStr">
        <is>
          <t>Common Fauna</t>
        </is>
      </c>
      <c r="H1" s="26" t="inlineStr">
        <is>
          <t>Factions Present</t>
        </is>
      </c>
      <c r="I1" s="26" t="inlineStr">
        <is>
          <t>Weather</t>
        </is>
      </c>
      <c r="J1" s="26"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2" t="inlineStr">
        <is>
          <t>BM-08</t>
        </is>
      </c>
      <c r="B9" s="12" t="inlineStr">
        <is>
          <t>Coastal Wastes</t>
        </is>
      </c>
      <c r="C9" s="12" t="inlineStr">
        <is>
          <t>Moderate</t>
        </is>
      </c>
      <c r="D9" s="12" t="n">
        <v>2</v>
      </c>
      <c r="E9" s="12" t="inlineStr">
        <is>
          <t>High</t>
        </is>
      </c>
      <c r="F9" s="12" t="inlineStr">
        <is>
          <t>Scrap, Water, Plant Fiber</t>
        </is>
      </c>
      <c r="G9" s="12" t="inlineStr">
        <is>
          <t>Wolf</t>
        </is>
      </c>
      <c r="H9" s="12" t="inlineStr">
        <is>
          <t>Town, Nomads</t>
        </is>
      </c>
      <c r="I9" s="12" t="inlineStr">
        <is>
          <t>Fog, Rain</t>
        </is>
      </c>
      <c r="J9" s="12" t="inlineStr">
        <is>
          <t>Ruined harbors and beaches</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42" min="1" max="1"/>
    <col width="32.7109375" bestFit="1" customWidth="1" style="42" min="2" max="2"/>
    <col width="13.7109375" bestFit="1" customWidth="1" style="42" min="4" max="4"/>
    <col width="6" bestFit="1" customWidth="1" style="42" min="5" max="5"/>
  </cols>
  <sheetData>
    <row r="1" ht="21" customHeight="1" s="42">
      <c r="A1" s="27" t="inlineStr">
        <is>
          <t>CHASMA COMBAT SYSTEM</t>
        </is>
      </c>
    </row>
    <row r="3" ht="15.75" customHeight="1" s="42">
      <c r="A3" s="7" t="inlineStr">
        <is>
          <t>DAMAGE CALCULATION</t>
        </is>
      </c>
    </row>
    <row r="4">
      <c r="A4" s="22" t="inlineStr">
        <is>
          <t>Component</t>
        </is>
      </c>
      <c r="B4" s="22"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42">
      <c r="A12" s="7" t="inlineStr">
        <is>
          <t>DEFENSE CALCULATION</t>
        </is>
      </c>
    </row>
    <row r="13">
      <c r="A13" s="26" t="inlineStr">
        <is>
          <t>Component</t>
        </is>
      </c>
      <c r="B13" s="26"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42">
      <c r="A20" s="7" t="inlineStr">
        <is>
          <t>COMBAT EXAMPLE</t>
        </is>
      </c>
    </row>
    <row r="21">
      <c r="A21" s="17" t="inlineStr">
        <is>
          <t>Attacker Stats</t>
        </is>
      </c>
      <c r="B21" s="17" t="inlineStr">
        <is>
          <t>Value</t>
        </is>
      </c>
      <c r="D21" s="21" t="inlineStr">
        <is>
          <t>Defender Stats</t>
        </is>
      </c>
      <c r="E21" s="21"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8">
        <f>ROUND(B26*(100-E23)/100,1)</f>
        <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5"/>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attack_fists</t>
        </is>
      </c>
      <c r="M2" t="inlineStr">
        <is>
          <t>Enemies</t>
        </is>
      </c>
      <c r="O2" t="inlineStr">
        <is>
          <t>Y</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F4" t="inlineStr"/>
      <c r="G4" t="n">
        <v>120</v>
      </c>
      <c r="H4" t="n">
        <v>15</v>
      </c>
      <c r="I4" t="inlineStr">
        <is>
          <t>Rectangle</t>
        </is>
      </c>
      <c r="J4" t="n">
        <v>1</v>
      </c>
      <c r="K4" t="n">
        <v>0.8</v>
      </c>
      <c r="L4" t="inlineStr"/>
      <c r="M4" t="n">
        <v>35</v>
      </c>
      <c r="N4" t="inlineStr"/>
      <c r="O4" t="inlineStr"/>
      <c r="P4" t="inlineStr"/>
      <c r="Q4" t="inlineStr">
        <is>
          <t>storage_chest</t>
        </is>
      </c>
      <c r="R4" t="inlineStr"/>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F5" t="inlineStr"/>
      <c r="G5" t="n">
        <v>400</v>
      </c>
      <c r="H5" t="n">
        <v>90</v>
      </c>
      <c r="I5" t="inlineStr">
        <is>
          <t>Rectangle</t>
        </is>
      </c>
      <c r="J5" t="n">
        <v>8</v>
      </c>
      <c r="K5" t="n">
        <v>6</v>
      </c>
      <c r="L5" t="inlineStr"/>
      <c r="M5" t="n">
        <v>35</v>
      </c>
      <c r="N5" t="inlineStr"/>
      <c r="O5" t="inlineStr"/>
      <c r="P5" t="inlineStr"/>
      <c r="Q5" t="inlineStr">
        <is>
          <t>storage_chest</t>
        </is>
      </c>
      <c r="R5" t="inlineStr"/>
      <c r="S5" t="inlineStr">
        <is>
          <t>Y</t>
        </is>
      </c>
      <c r="T5" t="inlineStr">
        <is>
          <t>chest_large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2026-07-14T15:24:52Z</dcterms:modified>
  <cp:lastModifiedBy>Matthew Dewyer</cp:lastModifiedBy>
</cp:coreProperties>
</file>