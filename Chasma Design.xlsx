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BevyFiles\chasma\"/>
    </mc:Choice>
  </mc:AlternateContent>
  <xr:revisionPtr revIDLastSave="0" documentId="11_2E855188502A946DE2A51C1628F245F208585DB0" xr6:coauthVersionLast="47" xr6:coauthVersionMax="47" xr10:uidLastSave="{00000000-0000-0000-0000-000000000000}"/>
  <bookViews>
    <workbookView xWindow="-120" yWindow="-120" windowWidth="38640" windowHeight="15840" firstSheet="1" activeTab="6" xr2:uid="{00000000-000D-0000-FFFF-FFFF00000000}"/>
  </bookViews>
  <sheets>
    <sheet name="Unit Import Schema" sheetId="1" r:id="rId1"/>
    <sheet name="Development" sheetId="2" r:id="rId2"/>
    <sheet name="Unit Stats" sheetId="3" r:id="rId3"/>
    <sheet name="Units" sheetId="4" r:id="rId4"/>
    <sheet name="Lore" sheetId="5" r:id="rId5"/>
    <sheet name="Items" sheetId="6" r:id="rId6"/>
    <sheet name="Doodads" sheetId="7" r:id="rId7"/>
    <sheet name="Factions" sheetId="8" r:id="rId8"/>
    <sheet name="Biomes" sheetId="9" r:id="rId9"/>
    <sheet name="Combat" sheetId="10" r:id="rId10"/>
    <sheet name="Weapons" sheetId="11" r:id="rId11"/>
    <sheet name="Animation Profiles" sheetId="12" r:id="rId12"/>
    <sheet name="Building Categories" sheetId="13" r:id="rId13"/>
    <sheet name="Buildings"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10" l="1"/>
  <c r="E26" i="10"/>
  <c r="B26" i="10"/>
  <c r="J26" i="6"/>
  <c r="J25" i="6"/>
  <c r="J24" i="6"/>
  <c r="J23" i="6"/>
  <c r="J22" i="6"/>
  <c r="J21" i="6"/>
  <c r="J20" i="6"/>
  <c r="J19" i="6"/>
  <c r="J18" i="6"/>
  <c r="J17" i="6"/>
  <c r="J16" i="6"/>
  <c r="J15" i="6"/>
  <c r="J14" i="6"/>
  <c r="J13" i="6"/>
  <c r="J12" i="6"/>
  <c r="J11" i="6"/>
  <c r="J10" i="6"/>
  <c r="J9" i="6"/>
  <c r="J8" i="6"/>
  <c r="J7" i="6"/>
  <c r="J6" i="6"/>
  <c r="J5" i="6"/>
  <c r="J4" i="6"/>
  <c r="J3" i="6"/>
  <c r="J2" i="6"/>
  <c r="B33" i="4"/>
  <c r="F32" i="4"/>
  <c r="B32" i="4"/>
  <c r="F31" i="4"/>
  <c r="B31" i="4"/>
  <c r="F30" i="4"/>
  <c r="B30" i="4"/>
  <c r="F29" i="4"/>
  <c r="B29" i="4"/>
  <c r="M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chasma-import</author>
  </authors>
  <commentList>
    <comment ref="A1" authorId="0" shapeId="0" xr:uid="{00000000-0006-0000-0300-000001000000}">
      <text>
        <r>
          <rPr>
            <sz val="11"/>
            <color theme="1"/>
            <rFont val="Aptos Narrow"/>
            <family val="2"/>
            <scheme val="minor"/>
          </rPr>
          <t>USED — unique id (UnitDefinitionId); required</t>
        </r>
      </text>
    </comment>
    <comment ref="B1" authorId="0" shapeId="0" xr:uid="{00000000-0006-0000-0300-000002000000}">
      <text>
        <r>
          <rPr>
            <sz val="11"/>
            <color theme="1"/>
            <rFont val="Aptos Narrow"/>
            <family val="2"/>
            <scheme val="minor"/>
          </rPr>
          <t>USED — display name; required</t>
        </r>
      </text>
    </comment>
    <comment ref="C1" authorId="0" shapeId="0" xr:uid="{00000000-0006-0000-0300-000003000000}">
      <text>
        <r>
          <rPr>
            <sz val="11"/>
            <color theme="1"/>
            <rFont val="Aptos Narrow"/>
            <family val="2"/>
            <scheme val="minor"/>
          </rPr>
          <t>STORED — design metadata only; not runtime ownership</t>
        </r>
      </text>
    </comment>
    <comment ref="D1" authorId="0" shapeId="0" xr:uid="{00000000-0006-0000-0300-000004000000}">
      <text>
        <r>
          <rPr>
            <sz val="11"/>
            <color theme="1"/>
            <rFont val="Aptos Narrow"/>
            <family val="2"/>
            <scheme val="minor"/>
          </rPr>
          <t>USED — GLB path → render key (e.g. robot); blank = no mesh</t>
        </r>
      </text>
    </comment>
    <comment ref="E1" authorId="0" shapeId="0" xr:uid="{00000000-0006-0000-0300-000005000000}">
      <text>
        <r>
          <rPr>
            <sz val="11"/>
            <color theme="1"/>
            <rFont val="Aptos Narrow"/>
            <family val="2"/>
            <scheme val="minor"/>
          </rPr>
          <t>STORED — catalog stat; no gameplay effect yet</t>
        </r>
      </text>
    </comment>
    <comment ref="F1" authorId="0" shapeId="0" xr:uid="{00000000-0006-0000-0300-000006000000}">
      <text>
        <r>
          <rPr>
            <sz val="11"/>
            <color theme="1"/>
            <rFont val="Aptos Narrow"/>
            <family val="2"/>
            <scheme val="minor"/>
          </rPr>
          <t>STORED — catalog stat; no gameplay effect yet</t>
        </r>
      </text>
    </comment>
    <comment ref="G1" authorId="0" shapeId="0" xr:uid="{00000000-0006-0000-0300-000007000000}">
      <text>
        <r>
          <rPr>
            <sz val="11"/>
            <color theme="1"/>
            <rFont val="Aptos Narrow"/>
            <family val="2"/>
            <scheme val="minor"/>
          </rPr>
          <t>STORED — catalog stat; no gameplay effect yet</t>
        </r>
      </text>
    </comment>
    <comment ref="H1" authorId="0" shapeId="0" xr:uid="{00000000-0006-0000-0300-000008000000}">
      <text>
        <r>
          <rPr>
            <sz val="11"/>
            <color theme="1"/>
            <rFont val="Aptos Narrow"/>
            <family val="2"/>
            <scheme val="minor"/>
          </rPr>
          <t>STORED — catalog stat; no gameplay effect yet</t>
        </r>
      </text>
    </comment>
    <comment ref="I1" authorId="0" shapeId="0" xr:uid="{00000000-0006-0000-0300-000009000000}">
      <text>
        <r>
          <rPr>
            <sz val="11"/>
            <color theme="1"/>
            <rFont val="Aptos Narrow"/>
            <family val="2"/>
            <scheme val="minor"/>
          </rPr>
          <t>STORED — catalog stat; no gameplay effect yet</t>
        </r>
      </text>
    </comment>
    <comment ref="J1" authorId="0" shapeId="0" xr:uid="{00000000-0006-0000-0300-00000A000000}">
      <text>
        <r>
          <rPr>
            <sz val="11"/>
            <color theme="1"/>
            <rFont val="Aptos Narrow"/>
            <family val="2"/>
            <scheme val="minor"/>
          </rPr>
          <t>STORED — catalog stat only; does NOT affect move speed (use Move Speed)</t>
        </r>
      </text>
    </comment>
    <comment ref="K1" authorId="0" shapeId="0" xr:uid="{00000000-0006-0000-0300-00000B000000}">
      <text>
        <r>
          <rPr>
            <sz val="11"/>
            <color theme="1"/>
            <rFont val="Aptos Narrow"/>
            <family val="2"/>
            <scheme val="minor"/>
          </rPr>
          <t>STORED — catalog stat; no gameplay effect yet</t>
        </r>
      </text>
    </comment>
    <comment ref="L1" authorId="0" shapeId="0" xr:uid="{00000000-0006-0000-0300-00000C000000}">
      <text>
        <r>
          <rPr>
            <sz val="11"/>
            <color theme="1"/>
            <rFont val="Aptos Narrow"/>
            <family val="2"/>
            <scheme val="minor"/>
          </rPr>
          <t>STORED — catalog stat; no gameplay effect yet</t>
        </r>
      </text>
    </comment>
    <comment ref="M1" authorId="0" shapeId="0" xr:uid="{00000000-0006-0000-0300-00000D000000}">
      <text>
        <r>
          <rPr>
            <sz val="11"/>
            <color theme="1"/>
            <rFont val="Aptos Narrow"/>
            <family val="2"/>
            <scheme val="minor"/>
          </rPr>
          <t>IGNORED — sheet formula only; importer skips this column</t>
        </r>
      </text>
    </comment>
    <comment ref="N1" authorId="0" shapeId="0" xr:uid="{00000000-0006-0000-0300-00000E000000}">
      <text>
        <r>
          <rPr>
            <sz val="11"/>
            <color theme="1"/>
            <rFont val="Aptos Narrow"/>
            <family val="2"/>
            <scheme val="minor"/>
          </rPr>
          <t>STORED — imported float; no gameplay effect yet (script writes computed value)</t>
        </r>
      </text>
    </comment>
    <comment ref="O1" authorId="0" shapeId="0" xr:uid="{00000000-0006-0000-0300-00000F000000}">
      <text>
        <r>
          <rPr>
            <sz val="11"/>
            <color theme="1"/>
            <rFont val="Aptos Narrow"/>
            <family val="2"/>
            <scheme val="minor"/>
          </rPr>
          <t>USED — required string (Elite/Veteran/…); imported to catalog (script writes computed value)</t>
        </r>
      </text>
    </comment>
    <comment ref="P1" authorId="0" shapeId="0" xr:uid="{00000000-0006-0000-0300-000010000000}">
      <text>
        <r>
          <rPr>
            <sz val="11"/>
            <color theme="1"/>
            <rFont val="Aptos Narrow"/>
            <family val="2"/>
            <scheme val="minor"/>
          </rPr>
          <t>USED — meters/sec for movement simulation (authoritative for speed)</t>
        </r>
      </text>
    </comment>
    <comment ref="Q1" authorId="0" shapeId="0" xr:uid="{00000000-0006-0000-0300-000011000000}">
      <text>
        <r>
          <rPr>
            <sz val="11"/>
            <color theme="1"/>
            <rFont val="Aptos Narrow"/>
            <family val="2"/>
            <scheme val="minor"/>
          </rPr>
          <t>USED — meters; selection ring + steering radius</t>
        </r>
      </text>
    </comment>
    <comment ref="R1" authorId="0" shapeId="0" xr:uid="{00000000-0006-0000-0300-000012000000}">
      <text>
        <r>
          <rPr>
            <sz val="11"/>
            <color theme="1"/>
            <rFont val="Aptos Narrow"/>
            <family val="2"/>
            <scheme val="minor"/>
          </rPr>
          <t>USED — degrees; max walkable terrain slope for pathfinding</t>
        </r>
      </text>
    </comment>
    <comment ref="T1" authorId="0" shapeId="0" xr:uid="{00000000-0006-0000-0300-000013000000}">
      <text>
        <r>
          <rPr>
            <sz val="11"/>
            <color theme="1"/>
            <rFont val="Aptos Narrow"/>
            <family val="2"/>
            <scheme val="minor"/>
          </rPr>
          <t>USED — Y/N; N excludes row from imported catalog</t>
        </r>
      </text>
    </comment>
  </commentList>
</comments>
</file>

<file path=xl/sharedStrings.xml><?xml version="1.0" encoding="utf-8"?>
<sst xmlns="http://schemas.openxmlformats.org/spreadsheetml/2006/main" count="746" uniqueCount="499">
  <si>
    <t>Column</t>
  </si>
  <si>
    <t>Import</t>
  </si>
  <si>
    <t>Runtime use</t>
  </si>
  <si>
    <t>Notes</t>
  </si>
  <si>
    <t>Unit ID</t>
  </si>
  <si>
    <t>Required</t>
  </si>
  <si>
    <t>Catalog key</t>
  </si>
  <si>
    <t>Name</t>
  </si>
  <si>
    <t>Display name</t>
  </si>
  <si>
    <t>Faction</t>
  </si>
  <si>
    <t>Metadata tag</t>
  </si>
  <si>
    <t>Not instance ownership</t>
  </si>
  <si>
    <t>File Path</t>
  </si>
  <si>
    <t>Optional</t>
  </si>
  <si>
    <t>Render mesh key</t>
  </si>
  <si>
    <t>Blank = no dev spawn mesh</t>
  </si>
  <si>
    <t>Level</t>
  </si>
  <si>
    <t>Catalog only</t>
  </si>
  <si>
    <t>Base HP</t>
  </si>
  <si>
    <t>Strength</t>
  </si>
  <si>
    <t>Dexterity</t>
  </si>
  <si>
    <t>Constitution</t>
  </si>
  <si>
    <t>Agility</t>
  </si>
  <si>
    <t>Does not drive movement speed</t>
  </si>
  <si>
    <t>Charisma</t>
  </si>
  <si>
    <t>Intelligence</t>
  </si>
  <si>
    <t>Total Stats</t>
  </si>
  <si>
    <t>Ignored</t>
  </si>
  <si>
    <t>—</t>
  </si>
  <si>
    <t>Excel helper column</t>
  </si>
  <si>
    <t>Power Rating</t>
  </si>
  <si>
    <t>Tier</t>
  </si>
  <si>
    <t>Move Speed</t>
  </si>
  <si>
    <t>Optional (default 4.0)</t>
  </si>
  <si>
    <t>Movement sim</t>
  </si>
  <si>
    <t>m/s — authoritative</t>
  </si>
  <si>
    <t>Collision Radius</t>
  </si>
  <si>
    <t>Optional (default 0.5)</t>
  </si>
  <si>
    <t>Movement + UI</t>
  </si>
  <si>
    <t>meters</t>
  </si>
  <si>
    <t>Max Slope</t>
  </si>
  <si>
    <t>Optional (default 40)</t>
  </si>
  <si>
    <t>Pathfinding</t>
  </si>
  <si>
    <t>degrees</t>
  </si>
  <si>
    <t>Enabled</t>
  </si>
  <si>
    <t>Optional (default Y)</t>
  </si>
  <si>
    <t>Catalog filter</t>
  </si>
  <si>
    <t>N = row skipped</t>
  </si>
  <si>
    <t>Importer: src/data_import/unit/schema.rs + excel.rs. Dev catalog loads this sheet at startup (feature=dev). Starter catalog (wolf/bandit/deer) is fallback only. Total Stats / Power Rating / Tier are written as plain values so calamine can read them (Excel formulas are not re-evaluated on import).</t>
  </si>
  <si>
    <t>Animation Profile</t>
  </si>
  <si>
    <t>Animation profile id</t>
  </si>
  <si>
    <t>Blank = static mesh (no animation pipeline). Must match Profile ID on Animation Profiles sheet.</t>
  </si>
  <si>
    <t>Task ID</t>
  </si>
  <si>
    <t>Description</t>
  </si>
  <si>
    <t>Priority</t>
  </si>
  <si>
    <t>Status</t>
  </si>
  <si>
    <t>Category</t>
  </si>
  <si>
    <t>Est. Hours</t>
  </si>
  <si>
    <t>T-0001</t>
  </si>
  <si>
    <t>Address Loading freezes during chunk generation</t>
  </si>
  <si>
    <t>1 - High</t>
  </si>
  <si>
    <t>In Progress</t>
  </si>
  <si>
    <t>Performance</t>
  </si>
  <si>
    <t>Memory leak suspected</t>
  </si>
  <si>
    <t>T-0002</t>
  </si>
  <si>
    <t>Camera tracking onto ground</t>
  </si>
  <si>
    <t>3 - Medium</t>
  </si>
  <si>
    <t>Open</t>
  </si>
  <si>
    <t>Camera</t>
  </si>
  <si>
    <t>Implement raycast ground detection</t>
  </si>
  <si>
    <t>T-0003</t>
  </si>
  <si>
    <t>Implement basic AI pathfinding</t>
  </si>
  <si>
    <t>AI</t>
  </si>
  <si>
    <t>A* algorithm</t>
  </si>
  <si>
    <t>Stat</t>
  </si>
  <si>
    <t>Abbreviation</t>
  </si>
  <si>
    <t>Primary Effects</t>
  </si>
  <si>
    <t>Secondary Effects</t>
  </si>
  <si>
    <t>STR</t>
  </si>
  <si>
    <t>Melee damage, Carry weight, Block power</t>
  </si>
  <si>
    <t>Mining speed, Building speed</t>
  </si>
  <si>
    <t>U-0001</t>
  </si>
  <si>
    <t>Robot</t>
  </si>
  <si>
    <t>Player</t>
  </si>
  <si>
    <t>assets\units\robot.glb</t>
  </si>
  <si>
    <t>Elite</t>
  </si>
  <si>
    <t>Y</t>
  </si>
  <si>
    <t>U-0002</t>
  </si>
  <si>
    <t>Fox</t>
  </si>
  <si>
    <t>assets\units\fox.glb</t>
  </si>
  <si>
    <t>Creep</t>
  </si>
  <si>
    <t>fox</t>
  </si>
  <si>
    <t>UNIT STATISTICS</t>
  </si>
  <si>
    <t>Total Units:</t>
  </si>
  <si>
    <t>Elite Units:</t>
  </si>
  <si>
    <t>Avg Power Rating:</t>
  </si>
  <si>
    <t>Veteran Units:</t>
  </si>
  <si>
    <t>Strongest Unit:</t>
  </si>
  <si>
    <t>Regular Units:</t>
  </si>
  <si>
    <t>Wild Units:</t>
  </si>
  <si>
    <t>Rookie Units:</t>
  </si>
  <si>
    <t>Bandit Units:</t>
  </si>
  <si>
    <t>Chasma — Setting Summary</t>
  </si>
  <si>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</si>
  <si>
    <t>Today, the wreck remains the most valuable location on the planet. Every major civilization has a different vision for its future, creating a world of uneasy alliances, trade, proxy wars, and territorial conflict.</t>
  </si>
  <si>
    <t>Humans</t>
  </si>
  <si>
    <t>The most intelligent and adaptable race, but also the most fractured. Their greatest strength is their potential to recover and understand lost technology. Human factions compete among themselves over how the old world should be rebuilt.</t>
  </si>
  <si>
    <t>Goal: Recover the past and reclaim humanity's lost future.</t>
  </si>
  <si>
    <t>Y'aratan</t>
  </si>
  <si>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</si>
  <si>
    <t>Goal: Determine what the Y'aratan will become.</t>
  </si>
  <si>
    <t>Gra-Gu</t>
  </si>
  <si>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</si>
  <si>
    <t>Goal: Ensure no one unleashes humanity's former power again.</t>
  </si>
  <si>
    <t>Rhal</t>
  </si>
  <si>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</si>
  <si>
    <t>Goal: Preserve movement, trade, and opportunity in a changing world.</t>
  </si>
  <si>
    <t>Major Conflicts</t>
  </si>
  <si>
    <t>Everyone vs The Wilds – The planet is filled with dangerous megafauna and untamed regions.</t>
  </si>
  <si>
    <t>Y'aratan vs Y'aratan – Rival queens compete for territory, ideology, and the future of their species.</t>
  </si>
  <si>
    <t>Humans vs Y'aratan – Conflict over land, resources, and access to technology.</t>
  </si>
  <si>
    <t>Gra-Gu vs Y'aratan – A long-standing cold war born from an ancient conflict over mountain territory.</t>
  </si>
  <si>
    <t>The Wreck – The central question of the setting:</t>
  </si>
  <si>
    <t>Humans want to reclaim it.</t>
  </si>
  <si>
    <t>Some Y'aratan want to exploit it.</t>
  </si>
  <si>
    <t>Others want it sealed away.</t>
  </si>
  <si>
    <t>The Gra-Gu want it destroyed.</t>
  </si>
  <si>
    <t>The Rhal want access to the prosperity it could create.</t>
  </si>
  <si>
    <t>At its heart, Chasma is a world arguing over what should be done with the remnants of a lost future.</t>
  </si>
  <si>
    <t>Item ID</t>
  </si>
  <si>
    <t>Stack Size</t>
  </si>
  <si>
    <t>Base Value</t>
  </si>
  <si>
    <t>Weight</t>
  </si>
  <si>
    <t>Rarity</t>
  </si>
  <si>
    <t>Craft Recipe</t>
  </si>
  <si>
    <t>Value/Weight</t>
  </si>
  <si>
    <t>I-0001</t>
  </si>
  <si>
    <t>Iron Ore</t>
  </si>
  <si>
    <t>Material</t>
  </si>
  <si>
    <t>Common</t>
  </si>
  <si>
    <t>-</t>
  </si>
  <si>
    <t>Raw iron for smelting</t>
  </si>
  <si>
    <t>I-0002</t>
  </si>
  <si>
    <t>Copper Ore</t>
  </si>
  <si>
    <t>Raw copper for smelting</t>
  </si>
  <si>
    <t>I-0003</t>
  </si>
  <si>
    <t>Iron Bar</t>
  </si>
  <si>
    <t>2x Iron Ore</t>
  </si>
  <si>
    <t>Refined iron</t>
  </si>
  <si>
    <t>I-0004</t>
  </si>
  <si>
    <t>Copper Bar</t>
  </si>
  <si>
    <t>2x Copper Ore</t>
  </si>
  <si>
    <t>Refined copper</t>
  </si>
  <si>
    <t>I-0005</t>
  </si>
  <si>
    <t>Scrap Metal</t>
  </si>
  <si>
    <t>Salvaged metal</t>
  </si>
  <si>
    <t>I-0006</t>
  </si>
  <si>
    <t>Ancient Parts</t>
  </si>
  <si>
    <t>Rare</t>
  </si>
  <si>
    <t>Pre-war technology</t>
  </si>
  <si>
    <t>I-0007</t>
  </si>
  <si>
    <t>Electronics</t>
  </si>
  <si>
    <t>Uncommon</t>
  </si>
  <si>
    <t>Circuits and wires</t>
  </si>
  <si>
    <t>I-0008</t>
  </si>
  <si>
    <t>Wood</t>
  </si>
  <si>
    <t>Building material</t>
  </si>
  <si>
    <t>I-0009</t>
  </si>
  <si>
    <t>Stone</t>
  </si>
  <si>
    <t>I-0010</t>
  </si>
  <si>
    <t>Plant Fiber</t>
  </si>
  <si>
    <t>For bandages and rope</t>
  </si>
  <si>
    <t>I-0011</t>
  </si>
  <si>
    <t>Rusty Sword</t>
  </si>
  <si>
    <t>Weapon</t>
  </si>
  <si>
    <t>Basic melee weapon</t>
  </si>
  <si>
    <t>I-0012</t>
  </si>
  <si>
    <t>Iron Sword</t>
  </si>
  <si>
    <t>5x Iron Bar</t>
  </si>
  <si>
    <t>Reliable blade</t>
  </si>
  <si>
    <t>I-0013</t>
  </si>
  <si>
    <t>Machete</t>
  </si>
  <si>
    <t>3x Iron Bar</t>
  </si>
  <si>
    <t>Fast slashing weapon</t>
  </si>
  <si>
    <t>I-0014</t>
  </si>
  <si>
    <t>Sledgehammer</t>
  </si>
  <si>
    <t>4x Iron Bar, 2x Wood</t>
  </si>
  <si>
    <t>Heavy blunt weapon</t>
  </si>
  <si>
    <t>I-0015</t>
  </si>
  <si>
    <t>Crossbow</t>
  </si>
  <si>
    <t>3x Iron Bar, 4x Wood</t>
  </si>
  <si>
    <t>Ranged weapon</t>
  </si>
  <si>
    <t>I-0016</t>
  </si>
  <si>
    <t>Bolt</t>
  </si>
  <si>
    <t>Ammo</t>
  </si>
  <si>
    <t>1x Iron Bar = 10</t>
  </si>
  <si>
    <t>Crossbow ammo</t>
  </si>
  <si>
    <t>I-0017</t>
  </si>
  <si>
    <t>Ragged Clothes</t>
  </si>
  <si>
    <t>Armor</t>
  </si>
  <si>
    <t>Barely protection</t>
  </si>
  <si>
    <t>I-0018</t>
  </si>
  <si>
    <t>Leather Armor</t>
  </si>
  <si>
    <t>5x Leather</t>
  </si>
  <si>
    <t>Light protection</t>
  </si>
  <si>
    <t>I-0019</t>
  </si>
  <si>
    <t>Iron Plate Armor</t>
  </si>
  <si>
    <t>10x Iron Bar</t>
  </si>
  <si>
    <t>Heavy protection</t>
  </si>
  <si>
    <t>I-0020</t>
  </si>
  <si>
    <t>Bandage</t>
  </si>
  <si>
    <t>Consumable</t>
  </si>
  <si>
    <t>2x Plant Fiber</t>
  </si>
  <si>
    <t>Heals 10 HP</t>
  </si>
  <si>
    <t>I-0021</t>
  </si>
  <si>
    <t>Med Kit</t>
  </si>
  <si>
    <t>5x Bandage, Alcohol</t>
  </si>
  <si>
    <t>Heals 50 HP</t>
  </si>
  <si>
    <t>I-0022</t>
  </si>
  <si>
    <t>Dried Meat</t>
  </si>
  <si>
    <t>Food</t>
  </si>
  <si>
    <t>1x Raw Meat</t>
  </si>
  <si>
    <t>Restores 20 hunger</t>
  </si>
  <si>
    <t>I-0023</t>
  </si>
  <si>
    <t>Cactus Flesh</t>
  </si>
  <si>
    <t>Restores 10 hunger</t>
  </si>
  <si>
    <t>I-0024</t>
  </si>
  <si>
    <t>Water Flask</t>
  </si>
  <si>
    <t>2x Leather</t>
  </si>
  <si>
    <t>Holds water</t>
  </si>
  <si>
    <t>I-0025</t>
  </si>
  <si>
    <t>Data Chip</t>
  </si>
  <si>
    <t>Quest</t>
  </si>
  <si>
    <t>Contains ancient data</t>
  </si>
  <si>
    <t>Doodad ID</t>
  </si>
  <si>
    <t>Min Size</t>
  </si>
  <si>
    <t>Max Size</t>
  </si>
  <si>
    <t>Spawn Weight</t>
  </si>
  <si>
    <t>Random Rotation</t>
  </si>
  <si>
    <t>D-0001</t>
  </si>
  <si>
    <t>Basic Tree</t>
  </si>
  <si>
    <t>Basic Tree for Testing</t>
  </si>
  <si>
    <t>Flora</t>
  </si>
  <si>
    <t>\doodads\tree</t>
  </si>
  <si>
    <t>Faction ID</t>
  </si>
  <si>
    <t>Disposition</t>
  </si>
  <si>
    <t>Territory</t>
  </si>
  <si>
    <t>Trade?</t>
  </si>
  <si>
    <t>Recruitable?</t>
  </si>
  <si>
    <t>F-0001</t>
  </si>
  <si>
    <t>N/A</t>
  </si>
  <si>
    <t>Variable</t>
  </si>
  <si>
    <t>No</t>
  </si>
  <si>
    <t>Yes</t>
  </si>
  <si>
    <t>The player's faction</t>
  </si>
  <si>
    <t>F-0002</t>
  </si>
  <si>
    <t>Wild</t>
  </si>
  <si>
    <t>Hostile</t>
  </si>
  <si>
    <t>Wilderness</t>
  </si>
  <si>
    <t>High</t>
  </si>
  <si>
    <t>Wild creatures and beasts</t>
  </si>
  <si>
    <t>F-0003</t>
  </si>
  <si>
    <t>Bandits</t>
  </si>
  <si>
    <t>Roads, Ruins</t>
  </si>
  <si>
    <t>Medium</t>
  </si>
  <si>
    <t>Opportunistic raiders</t>
  </si>
  <si>
    <t>F-0004</t>
  </si>
  <si>
    <t>Raiders</t>
  </si>
  <si>
    <t>Badlands</t>
  </si>
  <si>
    <t>Organized criminal group</t>
  </si>
  <si>
    <t>F-0005</t>
  </si>
  <si>
    <t>Nomads</t>
  </si>
  <si>
    <t>Neutral</t>
  </si>
  <si>
    <t>Desert</t>
  </si>
  <si>
    <t>Low</t>
  </si>
  <si>
    <t>Wandering traders</t>
  </si>
  <si>
    <t>F-0006</t>
  </si>
  <si>
    <t>Town</t>
  </si>
  <si>
    <t>Friendly</t>
  </si>
  <si>
    <t>Settlements</t>
  </si>
  <si>
    <t>Civilization survivors</t>
  </si>
  <si>
    <t>F-0007</t>
  </si>
  <si>
    <t>Slavers</t>
  </si>
  <si>
    <t>Slave camps</t>
  </si>
  <si>
    <t>Human traffickers</t>
  </si>
  <si>
    <t>F-0008</t>
  </si>
  <si>
    <t>Tech Hunters</t>
  </si>
  <si>
    <t>Ruins</t>
  </si>
  <si>
    <t>Relic seekers</t>
  </si>
  <si>
    <t>F-0009</t>
  </si>
  <si>
    <t>Scavs</t>
  </si>
  <si>
    <t>Everywhere</t>
  </si>
  <si>
    <t>Scrap collectors</t>
  </si>
  <si>
    <t>F-0010</t>
  </si>
  <si>
    <t>The Dominion</t>
  </si>
  <si>
    <t>East Chasma</t>
  </si>
  <si>
    <t>Very High</t>
  </si>
  <si>
    <t>Authoritarian empire</t>
  </si>
  <si>
    <t>FACTION RELATIONSHIPS</t>
  </si>
  <si>
    <t>From \ To</t>
  </si>
  <si>
    <t>Biome ID</t>
  </si>
  <si>
    <t>Temperature</t>
  </si>
  <si>
    <t>Danger Level</t>
  </si>
  <si>
    <t>Water Avail.</t>
  </si>
  <si>
    <t>Resources</t>
  </si>
  <si>
    <t>Common Fauna</t>
  </si>
  <si>
    <t>Factions Present</t>
  </si>
  <si>
    <t>Weather</t>
  </si>
  <si>
    <t>BM-01</t>
  </si>
  <si>
    <t>Scorched Desert</t>
  </si>
  <si>
    <t>Extreme Hot</t>
  </si>
  <si>
    <t>Very Low</t>
  </si>
  <si>
    <t>Iron, Sulfur, Oil</t>
  </si>
  <si>
    <t>Sand Viper, Desert Crawler</t>
  </si>
  <si>
    <t>Nomads, Bandits</t>
  </si>
  <si>
    <t>Sandstorms</t>
  </si>
  <si>
    <t>Harsh wasteland, dangerous to traverse</t>
  </si>
  <si>
    <t>BM-02</t>
  </si>
  <si>
    <t>Rocky Badlands</t>
  </si>
  <si>
    <t>Hot</t>
  </si>
  <si>
    <t>Stone, Iron, Copper</t>
  </si>
  <si>
    <t>Dire Wolf, Feral Human</t>
  </si>
  <si>
    <t>Raiders, Bandits</t>
  </si>
  <si>
    <t>Dust Devils</t>
  </si>
  <si>
    <t>Bandit territory, high danger</t>
  </si>
  <si>
    <t>BM-03</t>
  </si>
  <si>
    <t>Fertile Valley</t>
  </si>
  <si>
    <t>Moderate</t>
  </si>
  <si>
    <t>Wood, Plant Fiber, Water</t>
  </si>
  <si>
    <t>Wolf, Cave Spider</t>
  </si>
  <si>
    <t>Town, Nomads</t>
  </si>
  <si>
    <t>Rain</t>
  </si>
  <si>
    <t>Rare green area, contested</t>
  </si>
  <si>
    <t>BM-04</t>
  </si>
  <si>
    <t>Ancient Ruins</t>
  </si>
  <si>
    <t>Scrap, Electronics, Ancient Parts</t>
  </si>
  <si>
    <t>Ruins Stalker</t>
  </si>
  <si>
    <t>Tech Hunters, Scavs</t>
  </si>
  <si>
    <t>None</t>
  </si>
  <si>
    <t>Pre-war city remnants</t>
  </si>
  <si>
    <t>BM-05</t>
  </si>
  <si>
    <t>Salt Flats</t>
  </si>
  <si>
    <t>Crystal, Stone</t>
  </si>
  <si>
    <t>Giant Beetle</t>
  </si>
  <si>
    <t>Heat Waves</t>
  </si>
  <si>
    <t>Desolate white expanse</t>
  </si>
  <si>
    <t>BM-06</t>
  </si>
  <si>
    <t>The Chasma</t>
  </si>
  <si>
    <t>Cold</t>
  </si>
  <si>
    <t>Crystal, Rare Ores</t>
  </si>
  <si>
    <t>Chasma Hound</t>
  </si>
  <si>
    <t>Blizzards</t>
  </si>
  <si>
    <t>The great rift, namesake of the land</t>
  </si>
  <si>
    <t>BM-07</t>
  </si>
  <si>
    <t>Fungal Caves</t>
  </si>
  <si>
    <t>Cool</t>
  </si>
  <si>
    <t>Mushrooms, Crystal</t>
  </si>
  <si>
    <t>Cave Spider, Giant Beetle</t>
  </si>
  <si>
    <t>Underground network</t>
  </si>
  <si>
    <t>BM-08</t>
  </si>
  <si>
    <t>Coastal Wastes</t>
  </si>
  <si>
    <t>Scrap, Water, Plant Fiber</t>
  </si>
  <si>
    <t>Wolf</t>
  </si>
  <si>
    <t>Fog, Rain</t>
  </si>
  <si>
    <t>Ruined harbors and beaches</t>
  </si>
  <si>
    <t>CHASMA COMBAT SYSTEM</t>
  </si>
  <si>
    <t>DAMAGE CALCULATION</t>
  </si>
  <si>
    <t>Component</t>
  </si>
  <si>
    <t>Formula</t>
  </si>
  <si>
    <t>Base Melee Damage</t>
  </si>
  <si>
    <t>Weapon_Damage + (STR * 2)</t>
  </si>
  <si>
    <t>Base Ranged Damage</t>
  </si>
  <si>
    <t>Weapon_Damage + (DEX * 1.5)</t>
  </si>
  <si>
    <t>Critical Multiplier</t>
  </si>
  <si>
    <t>1.5 + (DEX * 0.05)</t>
  </si>
  <si>
    <t>Critical Chance %</t>
  </si>
  <si>
    <t>5 + (DEX * 2)</t>
  </si>
  <si>
    <t>Armor Reduction</t>
  </si>
  <si>
    <t>Damage * (100 - Armor_Value) / 100</t>
  </si>
  <si>
    <t>Final Damage</t>
  </si>
  <si>
    <t>MAX(1, Reduced_Damage)</t>
  </si>
  <si>
    <t>DEFENSE CALCULATION</t>
  </si>
  <si>
    <t>Dodge Chance %</t>
  </si>
  <si>
    <t>5 + (AGI * 3) - Enemy_DEX</t>
  </si>
  <si>
    <t>Block Chance %</t>
  </si>
  <si>
    <t>(STR * 2) + Shield_Bonus</t>
  </si>
  <si>
    <t>Block Reduction %</t>
  </si>
  <si>
    <t>50 + (STR * 2)</t>
  </si>
  <si>
    <t>HP Regen/sec</t>
  </si>
  <si>
    <t>0.5 + (CON * 0.2)</t>
  </si>
  <si>
    <t>Bleed Resist %</t>
  </si>
  <si>
    <t>CON * 5</t>
  </si>
  <si>
    <t>COMBAT EXAMPLE</t>
  </si>
  <si>
    <t>Attacker Stats</t>
  </si>
  <si>
    <t>Value</t>
  </si>
  <si>
    <t>Defender Stats</t>
  </si>
  <si>
    <t>CON</t>
  </si>
  <si>
    <t>DEX</t>
  </si>
  <si>
    <t>Armor Value</t>
  </si>
  <si>
    <t>Weapon Damage</t>
  </si>
  <si>
    <t>Calculated Melee Damage:</t>
  </si>
  <si>
    <t>Total HP:</t>
  </si>
  <si>
    <t>Damage After Armor:</t>
  </si>
  <si>
    <t>Weapon ID</t>
  </si>
  <si>
    <t>Damage</t>
  </si>
  <si>
    <t>Damage Type</t>
  </si>
  <si>
    <t>Range</t>
  </si>
  <si>
    <t>Attacks Per Second</t>
  </si>
  <si>
    <t>Windup</t>
  </si>
  <si>
    <t>Recovery</t>
  </si>
  <si>
    <t>Hit Mode</t>
  </si>
  <si>
    <t>Projectile Key</t>
  </si>
  <si>
    <t>Animation Key</t>
  </si>
  <si>
    <t>Target Filters</t>
  </si>
  <si>
    <t>Stat Scaling</t>
  </si>
  <si>
    <t>weapon_fists</t>
  </si>
  <si>
    <t>Fists</t>
  </si>
  <si>
    <t>Unarmed strikes.</t>
  </si>
  <si>
    <t>Blunt</t>
  </si>
  <si>
    <t>Melee</t>
  </si>
  <si>
    <t>attack_fists</t>
  </si>
  <si>
    <t>Enemies</t>
  </si>
  <si>
    <t>weapon_wolf_bite</t>
  </si>
  <si>
    <t>Wolf Bite</t>
  </si>
  <si>
    <t>Natural wolf bite attack.</t>
  </si>
  <si>
    <t>Slashing</t>
  </si>
  <si>
    <t>attack_bite</t>
  </si>
  <si>
    <t>Enemies, Wildlife</t>
  </si>
  <si>
    <t>weapon_claws</t>
  </si>
  <si>
    <t>Claws</t>
  </si>
  <si>
    <t>Natural claw swipe.</t>
  </si>
  <si>
    <t>attack_claws</t>
  </si>
  <si>
    <t>Profile ID</t>
  </si>
  <si>
    <t>Idle Animation</t>
  </si>
  <si>
    <t>Walk Animation</t>
  </si>
  <si>
    <t>Run Animation</t>
  </si>
  <si>
    <t>Locomotion Reference Speed</t>
  </si>
  <si>
    <t>Survey</t>
  </si>
  <si>
    <t>Walk</t>
  </si>
  <si>
    <t>Run</t>
  </si>
  <si>
    <t>quadruped</t>
  </si>
  <si>
    <t>Idle</t>
  </si>
  <si>
    <t>humanoid</t>
  </si>
  <si>
    <t>Category ID</t>
  </si>
  <si>
    <t>Display Name</t>
  </si>
  <si>
    <t>residential</t>
  </si>
  <si>
    <t>Residential</t>
  </si>
  <si>
    <t>Shelters and housing structures</t>
  </si>
  <si>
    <t>production</t>
  </si>
  <si>
    <t>Production</t>
  </si>
  <si>
    <t>Crafting and refining structures</t>
  </si>
  <si>
    <t>defense</t>
  </si>
  <si>
    <t>Defense</t>
  </si>
  <si>
    <t>Walls, towers, and fortifications</t>
  </si>
  <si>
    <t>storage</t>
  </si>
  <si>
    <t>Storage</t>
  </si>
  <si>
    <t>Chests, vaults, and warehouses</t>
  </si>
  <si>
    <t>Building ID</t>
  </si>
  <si>
    <t>Model File Path</t>
  </si>
  <si>
    <t>Collision File Path</t>
  </si>
  <si>
    <t>Preview File Path</t>
  </si>
  <si>
    <t>Health</t>
  </si>
  <si>
    <t>Build Time</t>
  </si>
  <si>
    <t>Footprint Type</t>
  </si>
  <si>
    <t>Footprint Width</t>
  </si>
  <si>
    <t>Footprint Depth</t>
  </si>
  <si>
    <t>Footprint Radius</t>
  </si>
  <si>
    <t>Construction Stages</t>
  </si>
  <si>
    <t>Task Provider</t>
  </si>
  <si>
    <t>Interaction Profile</t>
  </si>
  <si>
    <t>Default Space</t>
  </si>
  <si>
    <t>Inventory Profile ID</t>
  </si>
  <si>
    <t>hut</t>
  </si>
  <si>
    <t>Survival Hut</t>
  </si>
  <si>
    <t>assets\buildings\hut.glb</t>
  </si>
  <si>
    <t>assets\buildings\hut_collision.glb</t>
  </si>
  <si>
    <t>250</t>
  </si>
  <si>
    <t>45</t>
  </si>
  <si>
    <t>Rectangle</t>
  </si>
  <si>
    <t>4</t>
  </si>
  <si>
    <t>35</t>
  </si>
  <si>
    <t>smelter</t>
  </si>
  <si>
    <t>Smelter</t>
  </si>
  <si>
    <t>assets\buildings\smelter.glb</t>
  </si>
  <si>
    <t>assets\buildings\smelter_collision.glb</t>
  </si>
  <si>
    <t>400</t>
  </si>
  <si>
    <t>90</t>
  </si>
  <si>
    <t>Circle</t>
  </si>
  <si>
    <t>2.5</t>
  </si>
  <si>
    <t>30</t>
  </si>
  <si>
    <t>smelter_basic</t>
  </si>
  <si>
    <t>storage_chest</t>
  </si>
  <si>
    <t>Storage Chest</t>
  </si>
  <si>
    <t>assets/buildings/chest.glb</t>
  </si>
  <si>
    <t>chest_small</t>
  </si>
  <si>
    <t>barn</t>
  </si>
  <si>
    <t>Barn</t>
  </si>
  <si>
    <t>assets/buildings/barn.glb</t>
  </si>
  <si>
    <t>chest_large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</si>
</sst>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1"/>
      <color theme="1"/>
      <name val="Aptos Narrow"/>
      <family val="2"/>
      <scheme val="minor"/>
    </font>
    <font>
      <b/>
      <sz val="11"/>
      <color theme="1"/>
      <name val="Aptos Narrow"/>
      <family val="2"/>
      <scheme val="minor"/>
    </font>
    <font>
      <sz val="11"/>
      <color rgb="FFFFFFFF"/>
      <name val="Aptos Narrow"/>
      <family val="2"/>
      <scheme val="minor"/>
    </font>
    <font>
      <b/>
      <sz val="11"/>
      <color rgb="FFFFFFFF"/>
      <name val="Aptos Narrow"/>
      <family val="2"/>
      <scheme val="minor"/>
    </font>
    <font>
      <b/>
      <sz val="12"/>
      <color theme="1"/>
      <name val="Aptos Narrow"/>
      <family val="2"/>
      <scheme val="minor"/>
    </font>
    <font>
      <b/>
      <sz val="14"/>
      <color theme="1"/>
      <name val="Aptos Narrow"/>
      <family val="2"/>
      <scheme val="minor"/>
    </font>
    <font>
      <b/>
      <sz val="16"/>
      <color rgb="FFC00000"/>
      <name val="Aptos Narrow"/>
      <family val="2"/>
      <scheme val="minor"/>
    </font>
    <font>
      <b/>
      <sz val="11"/>
      <color rgb="FFC00000"/>
      <name val="Aptos Narrow"/>
      <family val="2"/>
      <scheme val="minor"/>
    </font>
    <font>
      <b/>
      <sz val="11"/>
      <color rgb="FF1F4E79"/>
      <name val="Aptos Narrow"/>
      <family val="2"/>
      <scheme val="minor"/>
    </font>
    <font>
      <b/>
      <sz val="11"/>
      <color rgb="FF538135"/>
      <name val="Aptos Narrow"/>
      <family val="2"/>
      <scheme val="minor"/>
    </font>
    <font>
      <b/>
      <sz val="13.5"/>
      <color theme="1"/>
      <name val="Aptos Narrow"/>
      <family val="2"/>
      <scheme val="minor"/>
    </font>
    <font>
      <b/>
      <sz val="11"/>
      <color rgb="FF006100"/>
      <name val="Aptos Narrow"/>
      <family val="2"/>
    </font>
    <font>
      <b/>
      <sz val="12"/>
      <name val="Aptos Narrow"/>
      <family val="2"/>
    </font>
  </fonts>
  <fills count="18">
    <fill>
      <patternFill patternType="none"/>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0">
    <xf numFmtId="0" fontId="0" fillId="0" borderId="0" xfId="0"/>
    <xf numFmtId="0" fontId="0" fillId="3" borderId="3" xfId="0" applyFill="1" applyBorder="1" applyAlignment="1">
      <alignment horizontal="center"/>
    </xf>
    <xf numFmtId="0" fontId="3" fillId="2" borderId="3" xfId="0" applyFont="1" applyFill="1" applyBorder="1" applyAlignment="1">
      <alignment horizontal="center"/>
    </xf>
    <xf numFmtId="0" fontId="0" fillId="3" borderId="3" xfId="0" applyFill="1" applyBorder="1"/>
    <xf numFmtId="0" fontId="0" fillId="5" borderId="3" xfId="0" applyFill="1" applyBorder="1"/>
    <xf numFmtId="0" fontId="3" fillId="4" borderId="3" xfId="0" applyFont="1" applyFill="1" applyBorder="1" applyAlignment="1">
      <alignment horizontal="center"/>
    </xf>
    <xf numFmtId="0" fontId="1" fillId="0" borderId="0" xfId="0" applyFont="1"/>
    <xf numFmtId="0" fontId="4" fillId="0" borderId="0" xfId="0" applyFont="1"/>
    <xf numFmtId="0" fontId="3" fillId="6" borderId="0" xfId="0" applyFont="1" applyFill="1" applyAlignment="1">
      <alignment horizontal="center"/>
    </xf>
    <xf numFmtId="0" fontId="3" fillId="7" borderId="4" xfId="0" applyFont="1" applyFill="1" applyBorder="1" applyAlignment="1">
      <alignment horizontal="center"/>
    </xf>
    <xf numFmtId="0" fontId="0" fillId="0" borderId="1" xfId="0" applyBorder="1"/>
    <xf numFmtId="0" fontId="0" fillId="0" borderId="5" xfId="0" applyBorder="1"/>
    <xf numFmtId="0" fontId="0" fillId="0" borderId="2" xfId="0" applyBorder="1"/>
    <xf numFmtId="0" fontId="3" fillId="8" borderId="0" xfId="0" applyFont="1" applyFill="1"/>
    <xf numFmtId="0" fontId="2" fillId="9" borderId="0" xfId="0" applyFont="1" applyFill="1"/>
    <xf numFmtId="0" fontId="2" fillId="10" borderId="0" xfId="0" applyFont="1" applyFill="1"/>
    <xf numFmtId="0" fontId="3" fillId="10" borderId="0" xfId="0" applyFont="1" applyFill="1"/>
    <xf numFmtId="0" fontId="3" fillId="11" borderId="6" xfId="0" applyFont="1" applyFill="1" applyBorder="1"/>
    <xf numFmtId="0" fontId="3" fillId="11" borderId="0" xfId="0" applyFont="1" applyFill="1"/>
    <xf numFmtId="0" fontId="2" fillId="12" borderId="0" xfId="0" applyFont="1" applyFill="1"/>
    <xf numFmtId="0" fontId="3" fillId="12" borderId="0" xfId="0" applyFont="1" applyFill="1"/>
    <xf numFmtId="0" fontId="1" fillId="13" borderId="0" xfId="0" applyFont="1" applyFill="1"/>
    <xf numFmtId="0" fontId="1" fillId="13" borderId="1" xfId="0" applyFont="1" applyFill="1" applyBorder="1"/>
    <xf numFmtId="0" fontId="3" fillId="12" borderId="5" xfId="0" applyFont="1" applyFill="1" applyBorder="1"/>
    <xf numFmtId="0" fontId="3" fillId="14" borderId="0" xfId="0" applyFont="1" applyFill="1"/>
    <xf numFmtId="0" fontId="6" fillId="0" borderId="0" xfId="0" applyFont="1"/>
    <xf numFmtId="0" fontId="7" fillId="0" borderId="0" xfId="0" applyFont="1"/>
    <xf numFmtId="0" fontId="8" fillId="0" borderId="0" xfId="0" applyFont="1"/>
    <xf numFmtId="0" fontId="9" fillId="0" borderId="0" xfId="0" applyFont="1"/>
    <xf numFmtId="0" fontId="0" fillId="0" borderId="0" xfId="0" applyAlignment="1">
      <alignment vertical="top" wrapText="1"/>
    </xf>
    <xf numFmtId="0" fontId="10" fillId="0" borderId="0" xfId="0" applyFont="1" applyAlignment="1">
      <alignment vertical="top" wrapText="1"/>
    </xf>
    <xf numFmtId="0" fontId="1" fillId="0" borderId="0" xfId="0" applyFont="1" applyAlignment="1">
      <alignment vertical="top" wrapText="1"/>
    </xf>
    <xf numFmtId="0" fontId="0" fillId="0" borderId="0" xfId="0" applyAlignment="1">
      <alignment horizontal="left" vertical="top" wrapText="1"/>
    </xf>
    <xf numFmtId="0" fontId="1" fillId="0" borderId="0" xfId="0" applyFont="1" applyAlignment="1">
      <alignment horizontal="left" vertical="top" wrapText="1"/>
    </xf>
    <xf numFmtId="0" fontId="3" fillId="15" borderId="0" xfId="0" applyFont="1" applyFill="1" applyAlignment="1">
      <alignment horizontal="center"/>
    </xf>
    <xf numFmtId="0" fontId="12" fillId="17" borderId="0" xfId="0" applyFont="1" applyFill="1"/>
    <xf numFmtId="0" fontId="11" fillId="16" borderId="0" xfId="0" applyFont="1" applyFill="1"/>
    <xf numFmtId="0" fontId="0" fillId="0" borderId="0" xfId="0" applyAlignment="1">
      <alignment wrapText="1"/>
    </xf>
    <xf numFmtId="0" fontId="0" fillId="0" borderId="0" xfId="0"/>
    <xf numFmtId="0" fontId="5" fillId="0" borderId="0" xfId="0" applyFont="1"/>
  </cellXfs>
  <cellStyles count="1">
    <cellStyle name="Normal" xfId="0" builtinId="0"/>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3"/>
  <sheetViews>
    <sheetView workbookViewId="0">
      <pane ySplit="1" topLeftCell="A2" activePane="bottomLeft" state="frozen"/>
      <selection pane="bottomLeft"/>
    </sheetView>
  </sheetViews>
  <sheetFormatPr defaultRowHeight="15" x14ac:dyDescent="0.25"/>
  <cols>
    <col min="1" max="1" width="18" customWidth="1"/>
    <col min="2" max="3" width="22" customWidth="1"/>
    <col min="4" max="4" width="48" customWidth="1"/>
  </cols>
  <sheetData>
    <row r="1" spans="1:4" ht="15.75" customHeight="1" x14ac:dyDescent="0.25">
      <c r="A1" s="35" t="s">
        <v>0</v>
      </c>
      <c r="B1" s="35" t="s">
        <v>1</v>
      </c>
      <c r="C1" s="35" t="s">
        <v>2</v>
      </c>
      <c r="D1" s="35" t="s">
        <v>3</v>
      </c>
    </row>
    <row r="2" spans="1:4" x14ac:dyDescent="0.25">
      <c r="A2" t="s">
        <v>4</v>
      </c>
      <c r="B2" t="s">
        <v>5</v>
      </c>
      <c r="C2" t="s">
        <v>6</v>
      </c>
    </row>
    <row r="3" spans="1:4" x14ac:dyDescent="0.25">
      <c r="A3" t="s">
        <v>7</v>
      </c>
      <c r="B3" t="s">
        <v>5</v>
      </c>
      <c r="C3" t="s">
        <v>8</v>
      </c>
    </row>
    <row r="4" spans="1:4" x14ac:dyDescent="0.25">
      <c r="A4" t="s">
        <v>9</v>
      </c>
      <c r="B4" t="s">
        <v>5</v>
      </c>
      <c r="C4" t="s">
        <v>10</v>
      </c>
      <c r="D4" t="s">
        <v>11</v>
      </c>
    </row>
    <row r="5" spans="1:4" x14ac:dyDescent="0.25">
      <c r="A5" t="s">
        <v>12</v>
      </c>
      <c r="B5" t="s">
        <v>13</v>
      </c>
      <c r="C5" t="s">
        <v>14</v>
      </c>
      <c r="D5" t="s">
        <v>15</v>
      </c>
    </row>
    <row r="6" spans="1:4" x14ac:dyDescent="0.25">
      <c r="A6" t="s">
        <v>16</v>
      </c>
      <c r="B6" t="s">
        <v>5</v>
      </c>
      <c r="C6" t="s">
        <v>17</v>
      </c>
    </row>
    <row r="7" spans="1:4" x14ac:dyDescent="0.25">
      <c r="A7" t="s">
        <v>18</v>
      </c>
      <c r="B7" t="s">
        <v>5</v>
      </c>
      <c r="C7" t="s">
        <v>17</v>
      </c>
    </row>
    <row r="8" spans="1:4" x14ac:dyDescent="0.25">
      <c r="A8" t="s">
        <v>19</v>
      </c>
      <c r="B8" t="s">
        <v>5</v>
      </c>
      <c r="C8" t="s">
        <v>17</v>
      </c>
    </row>
    <row r="9" spans="1:4" x14ac:dyDescent="0.25">
      <c r="A9" t="s">
        <v>20</v>
      </c>
      <c r="B9" t="s">
        <v>5</v>
      </c>
      <c r="C9" t="s">
        <v>17</v>
      </c>
    </row>
    <row r="10" spans="1:4" x14ac:dyDescent="0.25">
      <c r="A10" t="s">
        <v>21</v>
      </c>
      <c r="B10" t="s">
        <v>5</v>
      </c>
      <c r="C10" t="s">
        <v>17</v>
      </c>
    </row>
    <row r="11" spans="1:4" x14ac:dyDescent="0.25">
      <c r="A11" t="s">
        <v>22</v>
      </c>
      <c r="B11" t="s">
        <v>5</v>
      </c>
      <c r="C11" t="s">
        <v>17</v>
      </c>
      <c r="D11" t="s">
        <v>23</v>
      </c>
    </row>
    <row r="12" spans="1:4" x14ac:dyDescent="0.25">
      <c r="A12" t="s">
        <v>24</v>
      </c>
      <c r="B12" t="s">
        <v>5</v>
      </c>
      <c r="C12" t="s">
        <v>17</v>
      </c>
    </row>
    <row r="13" spans="1:4" x14ac:dyDescent="0.25">
      <c r="A13" t="s">
        <v>25</v>
      </c>
      <c r="B13" t="s">
        <v>5</v>
      </c>
      <c r="C13" t="s">
        <v>17</v>
      </c>
    </row>
    <row r="14" spans="1:4" x14ac:dyDescent="0.25">
      <c r="A14" t="s">
        <v>26</v>
      </c>
      <c r="B14" t="s">
        <v>27</v>
      </c>
      <c r="C14" t="s">
        <v>28</v>
      </c>
      <c r="D14" t="s">
        <v>29</v>
      </c>
    </row>
    <row r="15" spans="1:4" x14ac:dyDescent="0.25">
      <c r="A15" t="s">
        <v>30</v>
      </c>
      <c r="B15" t="s">
        <v>5</v>
      </c>
      <c r="C15" t="s">
        <v>17</v>
      </c>
    </row>
    <row r="16" spans="1:4" x14ac:dyDescent="0.25">
      <c r="A16" t="s">
        <v>31</v>
      </c>
      <c r="B16" t="s">
        <v>5</v>
      </c>
      <c r="C16" t="s">
        <v>17</v>
      </c>
    </row>
    <row r="17" spans="1:4" x14ac:dyDescent="0.25">
      <c r="A17" t="s">
        <v>32</v>
      </c>
      <c r="B17" t="s">
        <v>33</v>
      </c>
      <c r="C17" t="s">
        <v>34</v>
      </c>
      <c r="D17" t="s">
        <v>35</v>
      </c>
    </row>
    <row r="18" spans="1:4" x14ac:dyDescent="0.25">
      <c r="A18" t="s">
        <v>36</v>
      </c>
      <c r="B18" t="s">
        <v>37</v>
      </c>
      <c r="C18" t="s">
        <v>38</v>
      </c>
      <c r="D18" t="s">
        <v>39</v>
      </c>
    </row>
    <row r="19" spans="1:4" x14ac:dyDescent="0.25">
      <c r="A19" t="s">
        <v>40</v>
      </c>
      <c r="B19" t="s">
        <v>41</v>
      </c>
      <c r="C19" t="s">
        <v>42</v>
      </c>
      <c r="D19" t="s">
        <v>43</v>
      </c>
    </row>
    <row r="20" spans="1:4" x14ac:dyDescent="0.25">
      <c r="A20" t="s">
        <v>44</v>
      </c>
      <c r="B20" t="s">
        <v>45</v>
      </c>
      <c r="C20" t="s">
        <v>46</v>
      </c>
      <c r="D20" t="s">
        <v>47</v>
      </c>
    </row>
    <row r="22" spans="1:4" x14ac:dyDescent="0.25">
      <c r="A22" s="37" t="s">
        <v>48</v>
      </c>
      <c r="B22" s="38"/>
      <c r="C22" s="38"/>
      <c r="D22" s="38"/>
    </row>
    <row r="23" spans="1:4" x14ac:dyDescent="0.25">
      <c r="A23" t="s">
        <v>49</v>
      </c>
      <c r="B23" t="s">
        <v>13</v>
      </c>
      <c r="C23" t="s">
        <v>50</v>
      </c>
      <c r="D23" t="s">
        <v>51</v>
      </c>
    </row>
  </sheetData>
  <mergeCells count="1">
    <mergeCell ref="A22:D2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
  <sheetViews>
    <sheetView workbookViewId="0">
      <pane ySplit="1" topLeftCell="A3" activePane="bottomLeft" state="frozen"/>
      <selection pane="bottomLeft" activeCell="C10" sqref="C10"/>
    </sheetView>
  </sheetViews>
  <sheetFormatPr defaultRowHeight="15" x14ac:dyDescent="0.25"/>
  <cols>
    <col min="1" max="1" width="7.42578125" bestFit="1" customWidth="1"/>
    <col min="2" max="2" width="45.140625" bestFit="1" customWidth="1"/>
    <col min="3" max="3" width="10.7109375" bestFit="1" customWidth="1"/>
    <col min="4" max="4" width="10.85546875" bestFit="1" customWidth="1"/>
    <col min="5" max="5" width="12.28515625" bestFit="1" customWidth="1"/>
    <col min="6" max="6" width="10.28515625" bestFit="1" customWidth="1"/>
    <col min="7" max="7" width="33.28515625" bestFit="1" customWidth="1"/>
  </cols>
  <sheetData>
    <row r="1" spans="1:7" x14ac:dyDescent="0.25">
      <c r="A1" s="5" t="s">
        <v>52</v>
      </c>
      <c r="B1" s="5" t="s">
        <v>53</v>
      </c>
      <c r="C1" s="5" t="s">
        <v>54</v>
      </c>
      <c r="D1" s="16" t="s">
        <v>55</v>
      </c>
      <c r="E1" s="16" t="s">
        <v>56</v>
      </c>
      <c r="F1" s="16" t="s">
        <v>57</v>
      </c>
      <c r="G1" s="16" t="s">
        <v>3</v>
      </c>
    </row>
    <row r="2" spans="1:7" x14ac:dyDescent="0.25">
      <c r="A2" s="3" t="s">
        <v>58</v>
      </c>
      <c r="B2" s="3" t="s">
        <v>59</v>
      </c>
      <c r="C2" s="3" t="s">
        <v>60</v>
      </c>
      <c r="D2" t="s">
        <v>61</v>
      </c>
      <c r="E2" t="s">
        <v>62</v>
      </c>
      <c r="F2">
        <v>8</v>
      </c>
      <c r="G2" t="s">
        <v>63</v>
      </c>
    </row>
    <row r="3" spans="1:7" x14ac:dyDescent="0.25">
      <c r="A3" s="4" t="s">
        <v>64</v>
      </c>
      <c r="B3" s="4" t="s">
        <v>65</v>
      </c>
      <c r="C3" s="4" t="s">
        <v>66</v>
      </c>
      <c r="D3" t="s">
        <v>67</v>
      </c>
      <c r="E3" t="s">
        <v>68</v>
      </c>
      <c r="F3">
        <v>4</v>
      </c>
      <c r="G3" t="s">
        <v>69</v>
      </c>
    </row>
    <row r="4" spans="1:7" x14ac:dyDescent="0.25">
      <c r="A4" s="3" t="s">
        <v>70</v>
      </c>
      <c r="B4" s="3" t="s">
        <v>71</v>
      </c>
      <c r="C4" s="3" t="s">
        <v>60</v>
      </c>
      <c r="D4" t="s">
        <v>67</v>
      </c>
      <c r="E4" t="s">
        <v>72</v>
      </c>
      <c r="F4">
        <v>16</v>
      </c>
      <c r="G4" t="s">
        <v>73</v>
      </c>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workbookViewId="0">
      <selection activeCell="D10" sqref="D10"/>
    </sheetView>
  </sheetViews>
  <sheetFormatPr defaultRowHeight="15" x14ac:dyDescent="0.25"/>
  <cols>
    <col min="1" max="1" width="22.85546875" customWidth="1"/>
    <col min="2" max="2" width="19" customWidth="1"/>
    <col min="3" max="4" width="38.140625" customWidth="1"/>
  </cols>
  <sheetData>
    <row r="1" spans="1:4" x14ac:dyDescent="0.25">
      <c r="A1" s="13" t="s">
        <v>74</v>
      </c>
      <c r="B1" s="13" t="s">
        <v>75</v>
      </c>
      <c r="C1" s="13" t="s">
        <v>76</v>
      </c>
      <c r="D1" s="13" t="s">
        <v>77</v>
      </c>
    </row>
    <row r="2" spans="1:4" x14ac:dyDescent="0.25">
      <c r="A2" t="s">
        <v>19</v>
      </c>
      <c r="B2" t="s">
        <v>78</v>
      </c>
      <c r="C2" t="s">
        <v>79</v>
      </c>
      <c r="D2" t="s">
        <v>80</v>
      </c>
    </row>
    <row r="9" spans="1:4" ht="18.75" customHeight="1" x14ac:dyDescent="0.3">
      <c r="A9" s="39"/>
      <c r="B9" s="38"/>
      <c r="C9" s="38"/>
      <c r="D9" s="38"/>
    </row>
    <row r="10" spans="1:4" x14ac:dyDescent="0.25">
      <c r="A10" s="14"/>
      <c r="B10" s="14"/>
      <c r="C10" s="14"/>
    </row>
    <row r="17" spans="1:3" x14ac:dyDescent="0.25">
      <c r="A17" s="10"/>
      <c r="B17" s="10"/>
      <c r="C17" s="10"/>
    </row>
  </sheetData>
  <mergeCells count="1">
    <mergeCell ref="A9:D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33"/>
  <sheetViews>
    <sheetView workbookViewId="0">
      <pane ySplit="1" topLeftCell="A2" activePane="bottomLeft" state="frozen"/>
      <selection activeCell="C28" sqref="C28"/>
      <selection pane="bottomLeft" activeCell="R19" sqref="R19"/>
    </sheetView>
  </sheetViews>
  <sheetFormatPr defaultRowHeight="15" x14ac:dyDescent="0.25"/>
  <cols>
    <col min="1" max="1" width="7.140625" bestFit="1" customWidth="1"/>
    <col min="2" max="2" width="14.42578125" customWidth="1"/>
    <col min="3" max="3" width="7.5703125" bestFit="1" customWidth="1"/>
    <col min="4" max="4" width="24.140625" customWidth="1"/>
    <col min="5" max="5" width="5.85546875" bestFit="1" customWidth="1"/>
    <col min="6" max="6" width="8.28515625" bestFit="1" customWidth="1"/>
    <col min="7" max="7" width="8.7109375" bestFit="1" customWidth="1"/>
    <col min="8" max="8" width="9.42578125" bestFit="1" customWidth="1"/>
    <col min="9" max="9" width="12.42578125" bestFit="1" customWidth="1"/>
    <col min="10" max="10" width="6.5703125" bestFit="1" customWidth="1"/>
    <col min="11" max="11" width="9.5703125" bestFit="1" customWidth="1"/>
    <col min="12" max="12" width="11.7109375" bestFit="1" customWidth="1"/>
  </cols>
  <sheetData>
    <row r="1" spans="1:20" x14ac:dyDescent="0.25">
      <c r="A1" s="2" t="s">
        <v>4</v>
      </c>
      <c r="B1" s="2" t="s">
        <v>7</v>
      </c>
      <c r="C1" s="2" t="s">
        <v>9</v>
      </c>
      <c r="D1" s="2" t="s">
        <v>12</v>
      </c>
      <c r="E1" s="2" t="s">
        <v>16</v>
      </c>
      <c r="F1" s="2" t="s">
        <v>18</v>
      </c>
      <c r="G1" s="2" t="s">
        <v>19</v>
      </c>
      <c r="H1" s="2" t="s">
        <v>20</v>
      </c>
      <c r="I1" s="2" t="s">
        <v>21</v>
      </c>
      <c r="J1" s="2" t="s">
        <v>22</v>
      </c>
      <c r="K1" s="2" t="s">
        <v>24</v>
      </c>
      <c r="L1" s="2" t="s">
        <v>25</v>
      </c>
      <c r="M1" s="9" t="s">
        <v>26</v>
      </c>
      <c r="N1" s="9" t="s">
        <v>30</v>
      </c>
      <c r="O1" s="9" t="s">
        <v>31</v>
      </c>
      <c r="P1" s="36" t="s">
        <v>32</v>
      </c>
      <c r="Q1" s="36" t="s">
        <v>36</v>
      </c>
      <c r="R1" s="36" t="s">
        <v>40</v>
      </c>
      <c r="S1" t="s">
        <v>49</v>
      </c>
      <c r="T1" s="36" t="s">
        <v>44</v>
      </c>
    </row>
    <row r="2" spans="1:20" x14ac:dyDescent="0.25">
      <c r="A2" s="1" t="s">
        <v>81</v>
      </c>
      <c r="B2" s="1" t="s">
        <v>82</v>
      </c>
      <c r="C2" s="1" t="s">
        <v>83</v>
      </c>
      <c r="D2" t="s">
        <v>84</v>
      </c>
      <c r="E2" s="1">
        <v>1</v>
      </c>
      <c r="F2" s="1">
        <v>50</v>
      </c>
      <c r="G2" s="1">
        <v>11</v>
      </c>
      <c r="H2" s="1">
        <v>5</v>
      </c>
      <c r="I2" s="1">
        <v>8</v>
      </c>
      <c r="J2" s="1">
        <v>12</v>
      </c>
      <c r="K2" s="1">
        <v>2</v>
      </c>
      <c r="L2" s="1">
        <v>10</v>
      </c>
      <c r="M2">
        <v>48</v>
      </c>
      <c r="N2">
        <v>65.400000000000006</v>
      </c>
      <c r="O2" s="11" t="s">
        <v>85</v>
      </c>
      <c r="P2">
        <v>9</v>
      </c>
      <c r="Q2">
        <v>0.68</v>
      </c>
      <c r="R2">
        <v>40</v>
      </c>
      <c r="T2" t="s">
        <v>86</v>
      </c>
    </row>
    <row r="3" spans="1:20" x14ac:dyDescent="0.25">
      <c r="A3" s="1" t="s">
        <v>87</v>
      </c>
      <c r="B3" t="s">
        <v>88</v>
      </c>
      <c r="C3" t="s">
        <v>83</v>
      </c>
      <c r="D3" t="s">
        <v>89</v>
      </c>
      <c r="E3">
        <v>1</v>
      </c>
      <c r="F3">
        <v>25</v>
      </c>
      <c r="G3">
        <v>4</v>
      </c>
      <c r="H3">
        <v>12</v>
      </c>
      <c r="I3">
        <v>6</v>
      </c>
      <c r="J3">
        <v>15</v>
      </c>
      <c r="K3">
        <v>8</v>
      </c>
      <c r="L3">
        <v>7</v>
      </c>
      <c r="M3">
        <f>SUM(G3:L3)</f>
        <v>52</v>
      </c>
      <c r="N3">
        <v>70</v>
      </c>
      <c r="O3" s="11" t="s">
        <v>90</v>
      </c>
      <c r="P3">
        <v>14</v>
      </c>
      <c r="Q3">
        <v>1.25</v>
      </c>
      <c r="R3">
        <v>50</v>
      </c>
      <c r="S3" t="s">
        <v>91</v>
      </c>
      <c r="T3" t="s">
        <v>86</v>
      </c>
    </row>
    <row r="4" spans="1:20" x14ac:dyDescent="0.25">
      <c r="O4" s="11"/>
    </row>
    <row r="5" spans="1:20" x14ac:dyDescent="0.25">
      <c r="O5" s="11"/>
    </row>
    <row r="6" spans="1:20" x14ac:dyDescent="0.25">
      <c r="O6" s="11"/>
    </row>
    <row r="7" spans="1:20" x14ac:dyDescent="0.25">
      <c r="O7" s="11"/>
    </row>
    <row r="8" spans="1:20" x14ac:dyDescent="0.25">
      <c r="O8" s="11"/>
    </row>
    <row r="9" spans="1:20" x14ac:dyDescent="0.25">
      <c r="O9" s="11"/>
    </row>
    <row r="10" spans="1:20" x14ac:dyDescent="0.25">
      <c r="O10" s="11"/>
    </row>
    <row r="11" spans="1:20" x14ac:dyDescent="0.25">
      <c r="O11" s="11"/>
    </row>
    <row r="12" spans="1:20" x14ac:dyDescent="0.25">
      <c r="O12" s="11"/>
    </row>
    <row r="13" spans="1:20" x14ac:dyDescent="0.25">
      <c r="O13" s="11"/>
    </row>
    <row r="14" spans="1:20" x14ac:dyDescent="0.25">
      <c r="O14" s="11"/>
    </row>
    <row r="15" spans="1:20" x14ac:dyDescent="0.25">
      <c r="O15" s="11"/>
    </row>
    <row r="16" spans="1:20" x14ac:dyDescent="0.25">
      <c r="O16" s="11"/>
    </row>
    <row r="17" spans="1:15" x14ac:dyDescent="0.25">
      <c r="O17" s="11"/>
    </row>
    <row r="18" spans="1:15" x14ac:dyDescent="0.25">
      <c r="O18" s="11"/>
    </row>
    <row r="19" spans="1:15" x14ac:dyDescent="0.25">
      <c r="O19" s="11"/>
    </row>
    <row r="20" spans="1:15" x14ac:dyDescent="0.25">
      <c r="O20" s="11"/>
    </row>
    <row r="21" spans="1:15" x14ac:dyDescent="0.25">
      <c r="O21" s="11"/>
    </row>
    <row r="22" spans="1:15" x14ac:dyDescent="0.25">
      <c r="O22" s="11"/>
    </row>
    <row r="23" spans="1:15" x14ac:dyDescent="0.25">
      <c r="O23" s="11"/>
    </row>
    <row r="24" spans="1:15" x14ac:dyDescent="0.25">
      <c r="O24" s="11"/>
    </row>
    <row r="25" spans="1:15" x14ac:dyDescent="0.25">
      <c r="O25" s="11"/>
    </row>
    <row r="26" spans="1:15" x14ac:dyDescent="0.25">
      <c r="A26" s="10"/>
      <c r="B26" s="10"/>
      <c r="C26" s="10"/>
      <c r="D26" s="10"/>
      <c r="E26" s="10"/>
      <c r="F26" s="10"/>
      <c r="G26" s="10"/>
      <c r="H26" s="10"/>
      <c r="I26" s="10"/>
      <c r="J26" s="10"/>
      <c r="K26" s="10"/>
      <c r="L26" s="10"/>
      <c r="M26" s="10"/>
      <c r="N26" s="10"/>
      <c r="O26" s="12"/>
    </row>
    <row r="28" spans="1:15" ht="15.75" customHeight="1" x14ac:dyDescent="0.25">
      <c r="A28" s="7" t="s">
        <v>92</v>
      </c>
    </row>
    <row r="29" spans="1:15" x14ac:dyDescent="0.25">
      <c r="A29" s="6" t="s">
        <v>93</v>
      </c>
      <c r="B29" s="27">
        <f>COUNTA(A2:A26)</f>
        <v>2</v>
      </c>
      <c r="E29" s="6" t="s">
        <v>94</v>
      </c>
      <c r="F29" s="28">
        <f>COUNTIF(O2:O26,"Elite")</f>
        <v>1</v>
      </c>
    </row>
    <row r="30" spans="1:15" x14ac:dyDescent="0.25">
      <c r="A30" s="6" t="s">
        <v>95</v>
      </c>
      <c r="B30" s="27">
        <f>ROUND(AVERAGE(N2:N26),1)</f>
        <v>67.7</v>
      </c>
      <c r="E30" s="6" t="s">
        <v>96</v>
      </c>
      <c r="F30" s="28">
        <f>COUNTIF(O2:O26,"Veteran")</f>
        <v>0</v>
      </c>
    </row>
    <row r="31" spans="1:15" x14ac:dyDescent="0.25">
      <c r="A31" s="6" t="s">
        <v>97</v>
      </c>
      <c r="B31" s="27" t="str">
        <f>INDEX(B2:B26,MATCH(MAX(N2:N26),N2:N26,0))</f>
        <v>Fox</v>
      </c>
      <c r="E31" s="6" t="s">
        <v>98</v>
      </c>
      <c r="F31" s="28">
        <f>COUNTIF(O2:O26,"Regular")</f>
        <v>0</v>
      </c>
    </row>
    <row r="32" spans="1:15" x14ac:dyDescent="0.25">
      <c r="A32" s="6" t="s">
        <v>99</v>
      </c>
      <c r="B32" s="27">
        <f>COUNTIF(C2:C26,"Wild")</f>
        <v>0</v>
      </c>
      <c r="E32" s="6" t="s">
        <v>100</v>
      </c>
      <c r="F32" s="28">
        <f>COUNTIF(O2:O26,"Rookie")</f>
        <v>0</v>
      </c>
    </row>
    <row r="33" spans="1:2" x14ac:dyDescent="0.25">
      <c r="A33" s="6" t="s">
        <v>101</v>
      </c>
      <c r="B33" s="27">
        <f>COUNTIF(C2:C26,"Bandits")</f>
        <v>0</v>
      </c>
    </row>
  </sheetData>
  <pageMargins left="0.7" right="0.7" top="0.75" bottom="0.75" header="0.3" footer="0.3"/>
  <pageSetup orientation="portrait" horizontalDpi="0" verticalDpi="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39"/>
  <sheetViews>
    <sheetView topLeftCell="A13" workbookViewId="0">
      <selection activeCell="A8" sqref="A8"/>
    </sheetView>
  </sheetViews>
  <sheetFormatPr defaultRowHeight="15" x14ac:dyDescent="0.25"/>
  <cols>
    <col min="1" max="1" width="98.28515625" style="29" customWidth="1"/>
    <col min="2" max="2" width="12.5703125" customWidth="1"/>
  </cols>
  <sheetData>
    <row r="1" spans="1:1" ht="18" customHeight="1" x14ac:dyDescent="0.25">
      <c r="A1" s="30" t="s">
        <v>102</v>
      </c>
    </row>
    <row r="3" spans="1:1" ht="75" customHeight="1" x14ac:dyDescent="0.25">
      <c r="A3" s="29" t="s">
        <v>103</v>
      </c>
    </row>
    <row r="4" spans="1:1" ht="45" customHeight="1" x14ac:dyDescent="0.25">
      <c r="A4" s="29" t="s">
        <v>104</v>
      </c>
    </row>
    <row r="6" spans="1:1" ht="18" customHeight="1" x14ac:dyDescent="0.25">
      <c r="A6" s="30" t="s">
        <v>105</v>
      </c>
    </row>
    <row r="8" spans="1:1" ht="45" customHeight="1" x14ac:dyDescent="0.25">
      <c r="A8" s="29" t="s">
        <v>106</v>
      </c>
    </row>
    <row r="9" spans="1:1" x14ac:dyDescent="0.25">
      <c r="A9" s="31" t="s">
        <v>107</v>
      </c>
    </row>
    <row r="11" spans="1:1" ht="18" customHeight="1" x14ac:dyDescent="0.25">
      <c r="A11" s="30" t="s">
        <v>108</v>
      </c>
    </row>
    <row r="13" spans="1:1" ht="60" customHeight="1" x14ac:dyDescent="0.25">
      <c r="A13" s="29" t="s">
        <v>109</v>
      </c>
    </row>
    <row r="14" spans="1:1" x14ac:dyDescent="0.25">
      <c r="A14" s="31" t="s">
        <v>110</v>
      </c>
    </row>
    <row r="16" spans="1:1" ht="18" customHeight="1" x14ac:dyDescent="0.25">
      <c r="A16" s="30" t="s">
        <v>111</v>
      </c>
    </row>
    <row r="18" spans="1:1" ht="60" customHeight="1" x14ac:dyDescent="0.25">
      <c r="A18" s="29" t="s">
        <v>112</v>
      </c>
    </row>
    <row r="19" spans="1:1" x14ac:dyDescent="0.25">
      <c r="A19" s="31" t="s">
        <v>113</v>
      </c>
    </row>
    <row r="21" spans="1:1" ht="18" customHeight="1" x14ac:dyDescent="0.25">
      <c r="A21" s="30" t="s">
        <v>114</v>
      </c>
    </row>
    <row r="23" spans="1:1" ht="60" customHeight="1" x14ac:dyDescent="0.25">
      <c r="A23" s="29" t="s">
        <v>115</v>
      </c>
    </row>
    <row r="24" spans="1:1" x14ac:dyDescent="0.25">
      <c r="A24" s="31" t="s">
        <v>116</v>
      </c>
    </row>
    <row r="26" spans="1:1" ht="18" customHeight="1" x14ac:dyDescent="0.25">
      <c r="A26" s="30" t="s">
        <v>117</v>
      </c>
    </row>
    <row r="27" spans="1:1" x14ac:dyDescent="0.25">
      <c r="A27" s="32"/>
    </row>
    <row r="28" spans="1:1" x14ac:dyDescent="0.25">
      <c r="A28" s="33" t="s">
        <v>118</v>
      </c>
    </row>
    <row r="29" spans="1:1" x14ac:dyDescent="0.25">
      <c r="A29" s="33" t="s">
        <v>119</v>
      </c>
    </row>
    <row r="30" spans="1:1" x14ac:dyDescent="0.25">
      <c r="A30" s="33" t="s">
        <v>120</v>
      </c>
    </row>
    <row r="31" spans="1:1" x14ac:dyDescent="0.25">
      <c r="A31" s="33" t="s">
        <v>121</v>
      </c>
    </row>
    <row r="32" spans="1:1" x14ac:dyDescent="0.25">
      <c r="A32" s="33" t="s">
        <v>122</v>
      </c>
    </row>
    <row r="33" spans="1:1" x14ac:dyDescent="0.25">
      <c r="A33" s="32" t="s">
        <v>123</v>
      </c>
    </row>
    <row r="34" spans="1:1" x14ac:dyDescent="0.25">
      <c r="A34" s="32" t="s">
        <v>124</v>
      </c>
    </row>
    <row r="35" spans="1:1" x14ac:dyDescent="0.25">
      <c r="A35" s="32" t="s">
        <v>125</v>
      </c>
    </row>
    <row r="36" spans="1:1" x14ac:dyDescent="0.25">
      <c r="A36" s="32" t="s">
        <v>126</v>
      </c>
    </row>
    <row r="37" spans="1:1" x14ac:dyDescent="0.25">
      <c r="A37" s="32" t="s">
        <v>127</v>
      </c>
    </row>
    <row r="39" spans="1:1" x14ac:dyDescent="0.25">
      <c r="A39" s="29" t="s">
        <v>128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6"/>
  <sheetViews>
    <sheetView workbookViewId="0">
      <selection activeCell="M25" sqref="M25"/>
    </sheetView>
  </sheetViews>
  <sheetFormatPr defaultRowHeight="15" x14ac:dyDescent="0.25"/>
  <sheetData>
    <row r="1" spans="1:10" ht="15.75" customHeight="1" thickBot="1" x14ac:dyDescent="0.3">
      <c r="A1" s="17" t="s">
        <v>129</v>
      </c>
      <c r="B1" s="17" t="s">
        <v>7</v>
      </c>
      <c r="C1" s="17" t="s">
        <v>56</v>
      </c>
      <c r="D1" s="17" t="s">
        <v>130</v>
      </c>
      <c r="E1" s="17" t="s">
        <v>131</v>
      </c>
      <c r="F1" s="17" t="s">
        <v>132</v>
      </c>
      <c r="G1" s="17" t="s">
        <v>133</v>
      </c>
      <c r="H1" s="17" t="s">
        <v>134</v>
      </c>
      <c r="I1" s="17" t="s">
        <v>53</v>
      </c>
      <c r="J1" s="18" t="s">
        <v>135</v>
      </c>
    </row>
    <row r="2" spans="1:10" x14ac:dyDescent="0.25">
      <c r="A2" t="s">
        <v>136</v>
      </c>
      <c r="B2" t="s">
        <v>137</v>
      </c>
      <c r="C2" t="s">
        <v>138</v>
      </c>
      <c r="D2">
        <v>50</v>
      </c>
      <c r="E2">
        <v>5</v>
      </c>
      <c r="F2">
        <v>2</v>
      </c>
      <c r="G2" t="s">
        <v>139</v>
      </c>
      <c r="H2" t="s">
        <v>140</v>
      </c>
      <c r="I2" t="s">
        <v>141</v>
      </c>
      <c r="J2">
        <f t="shared" ref="J2:J26" si="0">IF(F2&gt;0,ROUND(E2/F2,1),"-")</f>
        <v>2.5</v>
      </c>
    </row>
    <row r="3" spans="1:10" x14ac:dyDescent="0.25">
      <c r="A3" t="s">
        <v>142</v>
      </c>
      <c r="B3" t="s">
        <v>143</v>
      </c>
      <c r="C3" t="s">
        <v>138</v>
      </c>
      <c r="D3">
        <v>50</v>
      </c>
      <c r="E3">
        <v>4</v>
      </c>
      <c r="F3">
        <v>2</v>
      </c>
      <c r="G3" t="s">
        <v>139</v>
      </c>
      <c r="H3" t="s">
        <v>140</v>
      </c>
      <c r="I3" t="s">
        <v>144</v>
      </c>
      <c r="J3">
        <f t="shared" si="0"/>
        <v>2</v>
      </c>
    </row>
    <row r="4" spans="1:10" x14ac:dyDescent="0.25">
      <c r="A4" t="s">
        <v>145</v>
      </c>
      <c r="B4" t="s">
        <v>146</v>
      </c>
      <c r="C4" t="s">
        <v>138</v>
      </c>
      <c r="D4">
        <v>20</v>
      </c>
      <c r="E4">
        <v>15</v>
      </c>
      <c r="F4">
        <v>3</v>
      </c>
      <c r="G4" t="s">
        <v>139</v>
      </c>
      <c r="H4" t="s">
        <v>147</v>
      </c>
      <c r="I4" t="s">
        <v>148</v>
      </c>
      <c r="J4">
        <f t="shared" si="0"/>
        <v>5</v>
      </c>
    </row>
    <row r="5" spans="1:10" x14ac:dyDescent="0.25">
      <c r="A5" t="s">
        <v>149</v>
      </c>
      <c r="B5" t="s">
        <v>150</v>
      </c>
      <c r="C5" t="s">
        <v>138</v>
      </c>
      <c r="D5">
        <v>20</v>
      </c>
      <c r="E5">
        <v>12</v>
      </c>
      <c r="F5">
        <v>3</v>
      </c>
      <c r="G5" t="s">
        <v>139</v>
      </c>
      <c r="H5" t="s">
        <v>151</v>
      </c>
      <c r="I5" t="s">
        <v>152</v>
      </c>
      <c r="J5">
        <f t="shared" si="0"/>
        <v>4</v>
      </c>
    </row>
    <row r="6" spans="1:10" x14ac:dyDescent="0.25">
      <c r="A6" t="s">
        <v>153</v>
      </c>
      <c r="B6" t="s">
        <v>154</v>
      </c>
      <c r="C6" t="s">
        <v>138</v>
      </c>
      <c r="D6">
        <v>30</v>
      </c>
      <c r="E6">
        <v>3</v>
      </c>
      <c r="F6">
        <v>1</v>
      </c>
      <c r="G6" t="s">
        <v>139</v>
      </c>
      <c r="H6" t="s">
        <v>140</v>
      </c>
      <c r="I6" t="s">
        <v>155</v>
      </c>
      <c r="J6">
        <f t="shared" si="0"/>
        <v>3</v>
      </c>
    </row>
    <row r="7" spans="1:10" x14ac:dyDescent="0.25">
      <c r="A7" t="s">
        <v>156</v>
      </c>
      <c r="B7" t="s">
        <v>157</v>
      </c>
      <c r="C7" t="s">
        <v>138</v>
      </c>
      <c r="D7">
        <v>10</v>
      </c>
      <c r="E7">
        <v>100</v>
      </c>
      <c r="F7">
        <v>1</v>
      </c>
      <c r="G7" t="s">
        <v>158</v>
      </c>
      <c r="H7" t="s">
        <v>140</v>
      </c>
      <c r="I7" t="s">
        <v>159</v>
      </c>
      <c r="J7">
        <f t="shared" si="0"/>
        <v>100</v>
      </c>
    </row>
    <row r="8" spans="1:10" x14ac:dyDescent="0.25">
      <c r="A8" t="s">
        <v>160</v>
      </c>
      <c r="B8" t="s">
        <v>161</v>
      </c>
      <c r="C8" t="s">
        <v>138</v>
      </c>
      <c r="D8">
        <v>15</v>
      </c>
      <c r="E8">
        <v>50</v>
      </c>
      <c r="F8">
        <v>0.5</v>
      </c>
      <c r="G8" t="s">
        <v>162</v>
      </c>
      <c r="H8" t="s">
        <v>140</v>
      </c>
      <c r="I8" t="s">
        <v>163</v>
      </c>
      <c r="J8">
        <f t="shared" si="0"/>
        <v>100</v>
      </c>
    </row>
    <row r="9" spans="1:10" x14ac:dyDescent="0.25">
      <c r="A9" t="s">
        <v>164</v>
      </c>
      <c r="B9" t="s">
        <v>165</v>
      </c>
      <c r="C9" t="s">
        <v>138</v>
      </c>
      <c r="D9">
        <v>50</v>
      </c>
      <c r="E9">
        <v>2</v>
      </c>
      <c r="F9">
        <v>2</v>
      </c>
      <c r="G9" t="s">
        <v>139</v>
      </c>
      <c r="H9" t="s">
        <v>140</v>
      </c>
      <c r="I9" t="s">
        <v>166</v>
      </c>
      <c r="J9">
        <f t="shared" si="0"/>
        <v>1</v>
      </c>
    </row>
    <row r="10" spans="1:10" x14ac:dyDescent="0.25">
      <c r="A10" t="s">
        <v>167</v>
      </c>
      <c r="B10" t="s">
        <v>168</v>
      </c>
      <c r="C10" t="s">
        <v>138</v>
      </c>
      <c r="D10">
        <v>50</v>
      </c>
      <c r="E10">
        <v>1</v>
      </c>
      <c r="F10">
        <v>3</v>
      </c>
      <c r="G10" t="s">
        <v>139</v>
      </c>
      <c r="H10" t="s">
        <v>140</v>
      </c>
      <c r="I10" t="s">
        <v>166</v>
      </c>
      <c r="J10">
        <f t="shared" si="0"/>
        <v>0.3</v>
      </c>
    </row>
    <row r="11" spans="1:10" x14ac:dyDescent="0.25">
      <c r="A11" t="s">
        <v>169</v>
      </c>
      <c r="B11" t="s">
        <v>170</v>
      </c>
      <c r="C11" t="s">
        <v>138</v>
      </c>
      <c r="D11">
        <v>50</v>
      </c>
      <c r="E11">
        <v>1</v>
      </c>
      <c r="F11">
        <v>0.2</v>
      </c>
      <c r="G11" t="s">
        <v>139</v>
      </c>
      <c r="H11" t="s">
        <v>140</v>
      </c>
      <c r="I11" t="s">
        <v>171</v>
      </c>
      <c r="J11">
        <f t="shared" si="0"/>
        <v>5</v>
      </c>
    </row>
    <row r="12" spans="1:10" x14ac:dyDescent="0.25">
      <c r="A12" t="s">
        <v>172</v>
      </c>
      <c r="B12" t="s">
        <v>173</v>
      </c>
      <c r="C12" t="s">
        <v>174</v>
      </c>
      <c r="D12">
        <v>1</v>
      </c>
      <c r="E12">
        <v>50</v>
      </c>
      <c r="F12">
        <v>4</v>
      </c>
      <c r="G12" t="s">
        <v>139</v>
      </c>
      <c r="H12" t="s">
        <v>140</v>
      </c>
      <c r="I12" t="s">
        <v>175</v>
      </c>
      <c r="J12">
        <f t="shared" si="0"/>
        <v>12.5</v>
      </c>
    </row>
    <row r="13" spans="1:10" x14ac:dyDescent="0.25">
      <c r="A13" t="s">
        <v>176</v>
      </c>
      <c r="B13" t="s">
        <v>177</v>
      </c>
      <c r="C13" t="s">
        <v>174</v>
      </c>
      <c r="D13">
        <v>1</v>
      </c>
      <c r="E13">
        <v>150</v>
      </c>
      <c r="F13">
        <v>4</v>
      </c>
      <c r="G13" t="s">
        <v>162</v>
      </c>
      <c r="H13" t="s">
        <v>178</v>
      </c>
      <c r="I13" t="s">
        <v>179</v>
      </c>
      <c r="J13">
        <f t="shared" si="0"/>
        <v>37.5</v>
      </c>
    </row>
    <row r="14" spans="1:10" x14ac:dyDescent="0.25">
      <c r="A14" t="s">
        <v>180</v>
      </c>
      <c r="B14" t="s">
        <v>181</v>
      </c>
      <c r="C14" t="s">
        <v>174</v>
      </c>
      <c r="D14">
        <v>1</v>
      </c>
      <c r="E14">
        <v>80</v>
      </c>
      <c r="F14">
        <v>3</v>
      </c>
      <c r="G14" t="s">
        <v>139</v>
      </c>
      <c r="H14" t="s">
        <v>182</v>
      </c>
      <c r="I14" t="s">
        <v>183</v>
      </c>
      <c r="J14">
        <f t="shared" si="0"/>
        <v>26.7</v>
      </c>
    </row>
    <row r="15" spans="1:10" x14ac:dyDescent="0.25">
      <c r="A15" t="s">
        <v>184</v>
      </c>
      <c r="B15" t="s">
        <v>185</v>
      </c>
      <c r="C15" t="s">
        <v>174</v>
      </c>
      <c r="D15">
        <v>1</v>
      </c>
      <c r="E15">
        <v>120</v>
      </c>
      <c r="F15">
        <v>8</v>
      </c>
      <c r="G15" t="s">
        <v>162</v>
      </c>
      <c r="H15" t="s">
        <v>186</v>
      </c>
      <c r="I15" t="s">
        <v>187</v>
      </c>
      <c r="J15">
        <f t="shared" si="0"/>
        <v>15</v>
      </c>
    </row>
    <row r="16" spans="1:10" x14ac:dyDescent="0.25">
      <c r="A16" t="s">
        <v>188</v>
      </c>
      <c r="B16" t="s">
        <v>189</v>
      </c>
      <c r="C16" t="s">
        <v>174</v>
      </c>
      <c r="D16">
        <v>1</v>
      </c>
      <c r="E16">
        <v>200</v>
      </c>
      <c r="F16">
        <v>5</v>
      </c>
      <c r="G16" t="s">
        <v>162</v>
      </c>
      <c r="H16" t="s">
        <v>190</v>
      </c>
      <c r="I16" t="s">
        <v>191</v>
      </c>
      <c r="J16">
        <f t="shared" si="0"/>
        <v>40</v>
      </c>
    </row>
    <row r="17" spans="1:10" x14ac:dyDescent="0.25">
      <c r="A17" t="s">
        <v>192</v>
      </c>
      <c r="B17" t="s">
        <v>193</v>
      </c>
      <c r="C17" t="s">
        <v>194</v>
      </c>
      <c r="D17">
        <v>50</v>
      </c>
      <c r="E17">
        <v>2</v>
      </c>
      <c r="F17">
        <v>0.1</v>
      </c>
      <c r="G17" t="s">
        <v>139</v>
      </c>
      <c r="H17" t="s">
        <v>195</v>
      </c>
      <c r="I17" t="s">
        <v>196</v>
      </c>
      <c r="J17">
        <f t="shared" si="0"/>
        <v>20</v>
      </c>
    </row>
    <row r="18" spans="1:10" x14ac:dyDescent="0.25">
      <c r="A18" t="s">
        <v>197</v>
      </c>
      <c r="B18" t="s">
        <v>198</v>
      </c>
      <c r="C18" t="s">
        <v>199</v>
      </c>
      <c r="D18">
        <v>1</v>
      </c>
      <c r="E18">
        <v>10</v>
      </c>
      <c r="F18">
        <v>2</v>
      </c>
      <c r="G18" t="s">
        <v>139</v>
      </c>
      <c r="H18" t="s">
        <v>140</v>
      </c>
      <c r="I18" t="s">
        <v>200</v>
      </c>
      <c r="J18">
        <f t="shared" si="0"/>
        <v>5</v>
      </c>
    </row>
    <row r="19" spans="1:10" x14ac:dyDescent="0.25">
      <c r="A19" t="s">
        <v>201</v>
      </c>
      <c r="B19" t="s">
        <v>202</v>
      </c>
      <c r="C19" t="s">
        <v>199</v>
      </c>
      <c r="D19">
        <v>1</v>
      </c>
      <c r="E19">
        <v>100</v>
      </c>
      <c r="F19">
        <v>6</v>
      </c>
      <c r="G19" t="s">
        <v>139</v>
      </c>
      <c r="H19" t="s">
        <v>203</v>
      </c>
      <c r="I19" t="s">
        <v>204</v>
      </c>
      <c r="J19">
        <f t="shared" si="0"/>
        <v>16.7</v>
      </c>
    </row>
    <row r="20" spans="1:10" x14ac:dyDescent="0.25">
      <c r="A20" t="s">
        <v>205</v>
      </c>
      <c r="B20" t="s">
        <v>206</v>
      </c>
      <c r="C20" t="s">
        <v>199</v>
      </c>
      <c r="D20">
        <v>1</v>
      </c>
      <c r="E20">
        <v>300</v>
      </c>
      <c r="F20">
        <v>15</v>
      </c>
      <c r="G20" t="s">
        <v>162</v>
      </c>
      <c r="H20" t="s">
        <v>207</v>
      </c>
      <c r="I20" t="s">
        <v>208</v>
      </c>
      <c r="J20">
        <f t="shared" si="0"/>
        <v>20</v>
      </c>
    </row>
    <row r="21" spans="1:10" x14ac:dyDescent="0.25">
      <c r="A21" t="s">
        <v>209</v>
      </c>
      <c r="B21" t="s">
        <v>210</v>
      </c>
      <c r="C21" t="s">
        <v>211</v>
      </c>
      <c r="D21">
        <v>20</v>
      </c>
      <c r="E21">
        <v>5</v>
      </c>
      <c r="F21">
        <v>0.1</v>
      </c>
      <c r="G21" t="s">
        <v>139</v>
      </c>
      <c r="H21" t="s">
        <v>212</v>
      </c>
      <c r="I21" t="s">
        <v>213</v>
      </c>
      <c r="J21">
        <f t="shared" si="0"/>
        <v>50</v>
      </c>
    </row>
    <row r="22" spans="1:10" x14ac:dyDescent="0.25">
      <c r="A22" t="s">
        <v>214</v>
      </c>
      <c r="B22" t="s">
        <v>215</v>
      </c>
      <c r="C22" t="s">
        <v>211</v>
      </c>
      <c r="D22">
        <v>10</v>
      </c>
      <c r="E22">
        <v>50</v>
      </c>
      <c r="F22">
        <v>0.5</v>
      </c>
      <c r="G22" t="s">
        <v>162</v>
      </c>
      <c r="H22" t="s">
        <v>216</v>
      </c>
      <c r="I22" t="s">
        <v>217</v>
      </c>
      <c r="J22">
        <f t="shared" si="0"/>
        <v>100</v>
      </c>
    </row>
    <row r="23" spans="1:10" x14ac:dyDescent="0.25">
      <c r="A23" t="s">
        <v>218</v>
      </c>
      <c r="B23" t="s">
        <v>219</v>
      </c>
      <c r="C23" t="s">
        <v>220</v>
      </c>
      <c r="D23">
        <v>20</v>
      </c>
      <c r="E23">
        <v>8</v>
      </c>
      <c r="F23">
        <v>0.3</v>
      </c>
      <c r="G23" t="s">
        <v>139</v>
      </c>
      <c r="H23" t="s">
        <v>221</v>
      </c>
      <c r="I23" t="s">
        <v>222</v>
      </c>
      <c r="J23">
        <f t="shared" si="0"/>
        <v>26.7</v>
      </c>
    </row>
    <row r="24" spans="1:10" x14ac:dyDescent="0.25">
      <c r="A24" t="s">
        <v>223</v>
      </c>
      <c r="B24" t="s">
        <v>224</v>
      </c>
      <c r="C24" t="s">
        <v>220</v>
      </c>
      <c r="D24">
        <v>20</v>
      </c>
      <c r="E24">
        <v>3</v>
      </c>
      <c r="F24">
        <v>0.2</v>
      </c>
      <c r="G24" t="s">
        <v>139</v>
      </c>
      <c r="H24" t="s">
        <v>140</v>
      </c>
      <c r="I24" t="s">
        <v>225</v>
      </c>
      <c r="J24">
        <f t="shared" si="0"/>
        <v>15</v>
      </c>
    </row>
    <row r="25" spans="1:10" x14ac:dyDescent="0.25">
      <c r="A25" t="s">
        <v>226</v>
      </c>
      <c r="B25" t="s">
        <v>227</v>
      </c>
      <c r="C25" t="s">
        <v>211</v>
      </c>
      <c r="D25">
        <v>5</v>
      </c>
      <c r="E25">
        <v>15</v>
      </c>
      <c r="F25">
        <v>1</v>
      </c>
      <c r="G25" t="s">
        <v>139</v>
      </c>
      <c r="H25" t="s">
        <v>228</v>
      </c>
      <c r="I25" t="s">
        <v>229</v>
      </c>
      <c r="J25">
        <f t="shared" si="0"/>
        <v>15</v>
      </c>
    </row>
    <row r="26" spans="1:10" x14ac:dyDescent="0.25">
      <c r="A26" s="10" t="s">
        <v>230</v>
      </c>
      <c r="B26" s="10" t="s">
        <v>231</v>
      </c>
      <c r="C26" s="10" t="s">
        <v>232</v>
      </c>
      <c r="D26" s="10">
        <v>5</v>
      </c>
      <c r="E26" s="10">
        <v>500</v>
      </c>
      <c r="F26" s="10">
        <v>0.1</v>
      </c>
      <c r="G26" s="10" t="s">
        <v>158</v>
      </c>
      <c r="H26" s="10" t="s">
        <v>140</v>
      </c>
      <c r="I26" s="10" t="s">
        <v>233</v>
      </c>
      <c r="J26" s="10">
        <f t="shared" si="0"/>
        <v>5000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2"/>
  <sheetViews>
    <sheetView tabSelected="1" workbookViewId="0">
      <pane ySplit="1" topLeftCell="A2" activePane="bottomLeft" state="frozen"/>
      <selection pane="bottomLeft" activeCell="F19" sqref="F19"/>
    </sheetView>
  </sheetViews>
  <sheetFormatPr defaultRowHeight="15" x14ac:dyDescent="0.25"/>
  <cols>
    <col min="1" max="1" width="13.42578125" customWidth="1"/>
    <col min="2" max="2" width="17.85546875" bestFit="1" customWidth="1"/>
    <col min="3" max="3" width="39.42578125" customWidth="1"/>
    <col min="5" max="5" width="18.28515625" customWidth="1"/>
    <col min="6" max="7" width="17.28515625" bestFit="1" customWidth="1"/>
    <col min="8" max="8" width="17.28515625" customWidth="1"/>
    <col min="9" max="9" width="18.28515625" customWidth="1"/>
  </cols>
  <sheetData>
    <row r="1" spans="1:10" x14ac:dyDescent="0.25">
      <c r="A1" s="8" t="s">
        <v>234</v>
      </c>
      <c r="B1" s="8" t="s">
        <v>7</v>
      </c>
      <c r="C1" s="8" t="s">
        <v>53</v>
      </c>
      <c r="D1" s="8" t="s">
        <v>56</v>
      </c>
      <c r="E1" s="8" t="s">
        <v>12</v>
      </c>
      <c r="F1" s="8" t="s">
        <v>235</v>
      </c>
      <c r="G1" s="8" t="s">
        <v>236</v>
      </c>
      <c r="H1" s="8" t="s">
        <v>237</v>
      </c>
      <c r="I1" s="8" t="s">
        <v>238</v>
      </c>
      <c r="J1" s="34" t="s">
        <v>44</v>
      </c>
    </row>
    <row r="2" spans="1:10" x14ac:dyDescent="0.25">
      <c r="A2" t="s">
        <v>239</v>
      </c>
      <c r="B2" t="s">
        <v>240</v>
      </c>
      <c r="C2" t="s">
        <v>241</v>
      </c>
      <c r="D2" t="s">
        <v>242</v>
      </c>
      <c r="E2" t="s">
        <v>243</v>
      </c>
      <c r="F2">
        <v>0.5</v>
      </c>
      <c r="G2">
        <v>1.5</v>
      </c>
      <c r="H2">
        <v>1</v>
      </c>
      <c r="I2" t="s">
        <v>86</v>
      </c>
      <c r="J2" t="s">
        <v>86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0"/>
  <sheetViews>
    <sheetView workbookViewId="0"/>
  </sheetViews>
  <sheetFormatPr defaultRowHeight="15" x14ac:dyDescent="0.25"/>
  <sheetData>
    <row r="1" spans="1:8" x14ac:dyDescent="0.25">
      <c r="A1" s="20" t="s">
        <v>244</v>
      </c>
      <c r="B1" s="20" t="s">
        <v>7</v>
      </c>
      <c r="C1" s="20" t="s">
        <v>245</v>
      </c>
      <c r="D1" s="20" t="s">
        <v>246</v>
      </c>
      <c r="E1" s="20" t="s">
        <v>19</v>
      </c>
      <c r="F1" s="20" t="s">
        <v>247</v>
      </c>
      <c r="G1" s="20" t="s">
        <v>248</v>
      </c>
      <c r="H1" s="20" t="s">
        <v>53</v>
      </c>
    </row>
    <row r="2" spans="1:8" x14ac:dyDescent="0.25">
      <c r="A2" t="s">
        <v>249</v>
      </c>
      <c r="B2" t="s">
        <v>83</v>
      </c>
      <c r="C2" t="s">
        <v>250</v>
      </c>
      <c r="D2" t="s">
        <v>251</v>
      </c>
      <c r="E2" t="s">
        <v>251</v>
      </c>
      <c r="F2" t="s">
        <v>252</v>
      </c>
      <c r="G2" t="s">
        <v>253</v>
      </c>
      <c r="H2" t="s">
        <v>254</v>
      </c>
    </row>
    <row r="3" spans="1:8" x14ac:dyDescent="0.25">
      <c r="A3" t="s">
        <v>255</v>
      </c>
      <c r="B3" t="s">
        <v>256</v>
      </c>
      <c r="C3" t="s">
        <v>257</v>
      </c>
      <c r="D3" t="s">
        <v>258</v>
      </c>
      <c r="E3" t="s">
        <v>259</v>
      </c>
      <c r="F3" t="s">
        <v>252</v>
      </c>
      <c r="G3" t="s">
        <v>252</v>
      </c>
      <c r="H3" t="s">
        <v>260</v>
      </c>
    </row>
    <row r="4" spans="1:8" x14ac:dyDescent="0.25">
      <c r="A4" t="s">
        <v>261</v>
      </c>
      <c r="B4" t="s">
        <v>262</v>
      </c>
      <c r="C4" t="s">
        <v>257</v>
      </c>
      <c r="D4" t="s">
        <v>263</v>
      </c>
      <c r="E4" t="s">
        <v>264</v>
      </c>
      <c r="F4" t="s">
        <v>252</v>
      </c>
      <c r="G4" t="s">
        <v>252</v>
      </c>
      <c r="H4" t="s">
        <v>265</v>
      </c>
    </row>
    <row r="5" spans="1:8" x14ac:dyDescent="0.25">
      <c r="A5" t="s">
        <v>266</v>
      </c>
      <c r="B5" t="s">
        <v>267</v>
      </c>
      <c r="C5" t="s">
        <v>257</v>
      </c>
      <c r="D5" t="s">
        <v>268</v>
      </c>
      <c r="E5" t="s">
        <v>259</v>
      </c>
      <c r="F5" t="s">
        <v>252</v>
      </c>
      <c r="G5" t="s">
        <v>253</v>
      </c>
      <c r="H5" t="s">
        <v>269</v>
      </c>
    </row>
    <row r="6" spans="1:8" x14ac:dyDescent="0.25">
      <c r="A6" t="s">
        <v>270</v>
      </c>
      <c r="B6" t="s">
        <v>271</v>
      </c>
      <c r="C6" t="s">
        <v>272</v>
      </c>
      <c r="D6" t="s">
        <v>273</v>
      </c>
      <c r="E6" t="s">
        <v>274</v>
      </c>
      <c r="F6" t="s">
        <v>253</v>
      </c>
      <c r="G6" t="s">
        <v>253</v>
      </c>
      <c r="H6" t="s">
        <v>275</v>
      </c>
    </row>
    <row r="7" spans="1:8" x14ac:dyDescent="0.25">
      <c r="A7" t="s">
        <v>276</v>
      </c>
      <c r="B7" t="s">
        <v>277</v>
      </c>
      <c r="C7" t="s">
        <v>278</v>
      </c>
      <c r="D7" t="s">
        <v>279</v>
      </c>
      <c r="E7" t="s">
        <v>264</v>
      </c>
      <c r="F7" t="s">
        <v>253</v>
      </c>
      <c r="G7" t="s">
        <v>253</v>
      </c>
      <c r="H7" t="s">
        <v>280</v>
      </c>
    </row>
    <row r="8" spans="1:8" x14ac:dyDescent="0.25">
      <c r="A8" t="s">
        <v>281</v>
      </c>
      <c r="B8" t="s">
        <v>282</v>
      </c>
      <c r="C8" t="s">
        <v>257</v>
      </c>
      <c r="D8" t="s">
        <v>283</v>
      </c>
      <c r="E8" t="s">
        <v>259</v>
      </c>
      <c r="F8" t="s">
        <v>253</v>
      </c>
      <c r="G8" t="s">
        <v>252</v>
      </c>
      <c r="H8" t="s">
        <v>284</v>
      </c>
    </row>
    <row r="9" spans="1:8" x14ac:dyDescent="0.25">
      <c r="A9" t="s">
        <v>285</v>
      </c>
      <c r="B9" t="s">
        <v>286</v>
      </c>
      <c r="C9" t="s">
        <v>272</v>
      </c>
      <c r="D9" t="s">
        <v>287</v>
      </c>
      <c r="E9" t="s">
        <v>264</v>
      </c>
      <c r="F9" t="s">
        <v>253</v>
      </c>
      <c r="G9" t="s">
        <v>253</v>
      </c>
      <c r="H9" t="s">
        <v>288</v>
      </c>
    </row>
    <row r="10" spans="1:8" x14ac:dyDescent="0.25">
      <c r="A10" t="s">
        <v>289</v>
      </c>
      <c r="B10" t="s">
        <v>290</v>
      </c>
      <c r="C10" t="s">
        <v>272</v>
      </c>
      <c r="D10" t="s">
        <v>291</v>
      </c>
      <c r="E10" t="s">
        <v>274</v>
      </c>
      <c r="F10" t="s">
        <v>253</v>
      </c>
      <c r="G10" t="s">
        <v>253</v>
      </c>
      <c r="H10" t="s">
        <v>292</v>
      </c>
    </row>
    <row r="11" spans="1:8" x14ac:dyDescent="0.25">
      <c r="A11" s="10" t="s">
        <v>293</v>
      </c>
      <c r="B11" s="10" t="s">
        <v>294</v>
      </c>
      <c r="C11" s="10" t="s">
        <v>257</v>
      </c>
      <c r="D11" s="10" t="s">
        <v>295</v>
      </c>
      <c r="E11" s="10" t="s">
        <v>296</v>
      </c>
      <c r="F11" s="10" t="s">
        <v>252</v>
      </c>
      <c r="G11" s="10" t="s">
        <v>252</v>
      </c>
      <c r="H11" s="10" t="s">
        <v>297</v>
      </c>
    </row>
    <row r="14" spans="1:8" ht="15.75" customHeight="1" x14ac:dyDescent="0.25">
      <c r="A14" s="7" t="s">
        <v>298</v>
      </c>
    </row>
    <row r="15" spans="1:8" x14ac:dyDescent="0.25">
      <c r="A15" s="20" t="s">
        <v>299</v>
      </c>
      <c r="B15" s="20" t="s">
        <v>262</v>
      </c>
      <c r="C15" s="20" t="s">
        <v>271</v>
      </c>
      <c r="D15" s="20" t="s">
        <v>277</v>
      </c>
      <c r="E15" s="20" t="s">
        <v>282</v>
      </c>
      <c r="F15" s="23" t="s">
        <v>286</v>
      </c>
    </row>
    <row r="16" spans="1:8" x14ac:dyDescent="0.25">
      <c r="A16" s="21" t="s">
        <v>262</v>
      </c>
      <c r="B16" t="s">
        <v>140</v>
      </c>
      <c r="C16" t="s">
        <v>257</v>
      </c>
      <c r="D16" t="s">
        <v>257</v>
      </c>
      <c r="E16" t="s">
        <v>272</v>
      </c>
      <c r="F16" s="11" t="s">
        <v>257</v>
      </c>
    </row>
    <row r="17" spans="1:6" x14ac:dyDescent="0.25">
      <c r="A17" s="21" t="s">
        <v>271</v>
      </c>
      <c r="B17" t="s">
        <v>257</v>
      </c>
      <c r="C17" t="s">
        <v>140</v>
      </c>
      <c r="D17" t="s">
        <v>278</v>
      </c>
      <c r="E17" t="s">
        <v>257</v>
      </c>
      <c r="F17" s="11" t="s">
        <v>272</v>
      </c>
    </row>
    <row r="18" spans="1:6" x14ac:dyDescent="0.25">
      <c r="A18" s="21" t="s">
        <v>277</v>
      </c>
      <c r="B18" t="s">
        <v>257</v>
      </c>
      <c r="C18" t="s">
        <v>278</v>
      </c>
      <c r="D18" t="s">
        <v>140</v>
      </c>
      <c r="E18" t="s">
        <v>257</v>
      </c>
      <c r="F18" s="11" t="s">
        <v>278</v>
      </c>
    </row>
    <row r="19" spans="1:6" x14ac:dyDescent="0.25">
      <c r="A19" s="21" t="s">
        <v>282</v>
      </c>
      <c r="B19" t="s">
        <v>272</v>
      </c>
      <c r="C19" t="s">
        <v>257</v>
      </c>
      <c r="D19" t="s">
        <v>257</v>
      </c>
      <c r="E19" t="s">
        <v>140</v>
      </c>
      <c r="F19" s="11" t="s">
        <v>272</v>
      </c>
    </row>
    <row r="20" spans="1:6" x14ac:dyDescent="0.25">
      <c r="A20" s="22" t="s">
        <v>286</v>
      </c>
      <c r="B20" s="10" t="s">
        <v>257</v>
      </c>
      <c r="C20" s="10" t="s">
        <v>272</v>
      </c>
      <c r="D20" s="10" t="s">
        <v>278</v>
      </c>
      <c r="E20" s="10" t="s">
        <v>272</v>
      </c>
      <c r="F20" s="12" t="s">
        <v>140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
  <sheetViews>
    <sheetView workbookViewId="0"/>
  </sheetViews>
  <sheetFormatPr defaultRowHeight="15" x14ac:dyDescent="0.25"/>
  <sheetData>
    <row r="1" spans="1:10" x14ac:dyDescent="0.25">
      <c r="A1" s="24" t="s">
        <v>300</v>
      </c>
      <c r="B1" s="24" t="s">
        <v>7</v>
      </c>
      <c r="C1" s="24" t="s">
        <v>301</v>
      </c>
      <c r="D1" s="24" t="s">
        <v>302</v>
      </c>
      <c r="E1" s="24" t="s">
        <v>303</v>
      </c>
      <c r="F1" s="24" t="s">
        <v>304</v>
      </c>
      <c r="G1" s="24" t="s">
        <v>305</v>
      </c>
      <c r="H1" s="24" t="s">
        <v>306</v>
      </c>
      <c r="I1" s="24" t="s">
        <v>307</v>
      </c>
      <c r="J1" s="24" t="s">
        <v>53</v>
      </c>
    </row>
    <row r="2" spans="1:10" x14ac:dyDescent="0.25">
      <c r="A2" t="s">
        <v>308</v>
      </c>
      <c r="B2" t="s">
        <v>309</v>
      </c>
      <c r="C2" t="s">
        <v>310</v>
      </c>
      <c r="D2">
        <v>4</v>
      </c>
      <c r="E2" t="s">
        <v>311</v>
      </c>
      <c r="F2" t="s">
        <v>312</v>
      </c>
      <c r="G2" t="s">
        <v>313</v>
      </c>
      <c r="H2" t="s">
        <v>314</v>
      </c>
      <c r="I2" t="s">
        <v>315</v>
      </c>
      <c r="J2" t="s">
        <v>316</v>
      </c>
    </row>
    <row r="3" spans="1:10" x14ac:dyDescent="0.25">
      <c r="A3" t="s">
        <v>317</v>
      </c>
      <c r="B3" t="s">
        <v>318</v>
      </c>
      <c r="C3" t="s">
        <v>319</v>
      </c>
      <c r="D3">
        <v>5</v>
      </c>
      <c r="E3" t="s">
        <v>274</v>
      </c>
      <c r="F3" t="s">
        <v>320</v>
      </c>
      <c r="G3" t="s">
        <v>321</v>
      </c>
      <c r="H3" t="s">
        <v>322</v>
      </c>
      <c r="I3" t="s">
        <v>323</v>
      </c>
      <c r="J3" t="s">
        <v>324</v>
      </c>
    </row>
    <row r="4" spans="1:10" x14ac:dyDescent="0.25">
      <c r="A4" t="s">
        <v>325</v>
      </c>
      <c r="B4" t="s">
        <v>326</v>
      </c>
      <c r="C4" t="s">
        <v>327</v>
      </c>
      <c r="D4">
        <v>2</v>
      </c>
      <c r="E4" t="s">
        <v>259</v>
      </c>
      <c r="F4" t="s">
        <v>328</v>
      </c>
      <c r="G4" t="s">
        <v>329</v>
      </c>
      <c r="H4" t="s">
        <v>330</v>
      </c>
      <c r="I4" t="s">
        <v>331</v>
      </c>
      <c r="J4" t="s">
        <v>332</v>
      </c>
    </row>
    <row r="5" spans="1:10" x14ac:dyDescent="0.25">
      <c r="A5" t="s">
        <v>333</v>
      </c>
      <c r="B5" t="s">
        <v>334</v>
      </c>
      <c r="C5" t="s">
        <v>327</v>
      </c>
      <c r="D5">
        <v>4</v>
      </c>
      <c r="E5" t="s">
        <v>274</v>
      </c>
      <c r="F5" t="s">
        <v>335</v>
      </c>
      <c r="G5" t="s">
        <v>336</v>
      </c>
      <c r="H5" t="s">
        <v>337</v>
      </c>
      <c r="I5" t="s">
        <v>338</v>
      </c>
      <c r="J5" t="s">
        <v>339</v>
      </c>
    </row>
    <row r="6" spans="1:10" x14ac:dyDescent="0.25">
      <c r="A6" t="s">
        <v>340</v>
      </c>
      <c r="B6" t="s">
        <v>341</v>
      </c>
      <c r="C6" t="s">
        <v>319</v>
      </c>
      <c r="D6">
        <v>3</v>
      </c>
      <c r="E6" t="s">
        <v>338</v>
      </c>
      <c r="F6" t="s">
        <v>342</v>
      </c>
      <c r="G6" t="s">
        <v>343</v>
      </c>
      <c r="H6" t="s">
        <v>338</v>
      </c>
      <c r="I6" t="s">
        <v>344</v>
      </c>
      <c r="J6" t="s">
        <v>345</v>
      </c>
    </row>
    <row r="7" spans="1:10" x14ac:dyDescent="0.25">
      <c r="A7" t="s">
        <v>346</v>
      </c>
      <c r="B7" t="s">
        <v>347</v>
      </c>
      <c r="C7" t="s">
        <v>348</v>
      </c>
      <c r="D7">
        <v>5</v>
      </c>
      <c r="E7" t="s">
        <v>327</v>
      </c>
      <c r="F7" t="s">
        <v>349</v>
      </c>
      <c r="G7" t="s">
        <v>350</v>
      </c>
      <c r="H7" t="s">
        <v>294</v>
      </c>
      <c r="I7" t="s">
        <v>351</v>
      </c>
      <c r="J7" t="s">
        <v>352</v>
      </c>
    </row>
    <row r="8" spans="1:10" x14ac:dyDescent="0.25">
      <c r="A8" t="s">
        <v>353</v>
      </c>
      <c r="B8" t="s">
        <v>354</v>
      </c>
      <c r="C8" t="s">
        <v>355</v>
      </c>
      <c r="D8">
        <v>3</v>
      </c>
      <c r="E8" t="s">
        <v>327</v>
      </c>
      <c r="F8" t="s">
        <v>356</v>
      </c>
      <c r="G8" t="s">
        <v>357</v>
      </c>
      <c r="H8" t="s">
        <v>290</v>
      </c>
      <c r="I8" t="s">
        <v>338</v>
      </c>
      <c r="J8" t="s">
        <v>358</v>
      </c>
    </row>
    <row r="9" spans="1:10" x14ac:dyDescent="0.25">
      <c r="A9" s="10" t="s">
        <v>359</v>
      </c>
      <c r="B9" s="10" t="s">
        <v>360</v>
      </c>
      <c r="C9" s="10" t="s">
        <v>327</v>
      </c>
      <c r="D9" s="10">
        <v>2</v>
      </c>
      <c r="E9" s="10" t="s">
        <v>259</v>
      </c>
      <c r="F9" s="10" t="s">
        <v>361</v>
      </c>
      <c r="G9" s="10" t="s">
        <v>362</v>
      </c>
      <c r="H9" s="10" t="s">
        <v>330</v>
      </c>
      <c r="I9" s="10" t="s">
        <v>363</v>
      </c>
      <c r="J9" s="10" t="s">
        <v>364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C5" sqref="C5"/>
    </sheetView>
  </sheetViews>
  <sheetFormatPr defaultRowHeight="15" x14ac:dyDescent="0.25"/>
  <cols>
    <col min="1" max="1" width="34.85546875" bestFit="1" customWidth="1"/>
    <col min="2" max="2" width="32.7109375" bestFit="1" customWidth="1"/>
    <col min="4" max="4" width="13.7109375" bestFit="1" customWidth="1"/>
    <col min="5" max="5" width="6" bestFit="1" customWidth="1"/>
  </cols>
  <sheetData>
    <row r="1" spans="1:2" ht="21" customHeight="1" x14ac:dyDescent="0.35">
      <c r="A1" s="25" t="s">
        <v>365</v>
      </c>
    </row>
    <row r="3" spans="1:2" ht="15.75" customHeight="1" x14ac:dyDescent="0.25">
      <c r="A3" s="7" t="s">
        <v>366</v>
      </c>
    </row>
    <row r="4" spans="1:2" x14ac:dyDescent="0.25">
      <c r="A4" s="20" t="s">
        <v>367</v>
      </c>
      <c r="B4" s="20" t="s">
        <v>368</v>
      </c>
    </row>
    <row r="5" spans="1:2" x14ac:dyDescent="0.25">
      <c r="A5" t="s">
        <v>369</v>
      </c>
      <c r="B5" t="s">
        <v>370</v>
      </c>
    </row>
    <row r="6" spans="1:2" x14ac:dyDescent="0.25">
      <c r="A6" t="s">
        <v>371</v>
      </c>
      <c r="B6" t="s">
        <v>372</v>
      </c>
    </row>
    <row r="7" spans="1:2" x14ac:dyDescent="0.25">
      <c r="A7" t="s">
        <v>373</v>
      </c>
      <c r="B7" t="s">
        <v>374</v>
      </c>
    </row>
    <row r="8" spans="1:2" x14ac:dyDescent="0.25">
      <c r="A8" t="s">
        <v>375</v>
      </c>
      <c r="B8" t="s">
        <v>376</v>
      </c>
    </row>
    <row r="9" spans="1:2" x14ac:dyDescent="0.25">
      <c r="A9" t="s">
        <v>377</v>
      </c>
      <c r="B9" t="s">
        <v>378</v>
      </c>
    </row>
    <row r="10" spans="1:2" x14ac:dyDescent="0.25">
      <c r="A10" t="s">
        <v>379</v>
      </c>
      <c r="B10" t="s">
        <v>380</v>
      </c>
    </row>
    <row r="12" spans="1:2" ht="15.75" customHeight="1" x14ac:dyDescent="0.25">
      <c r="A12" s="7" t="s">
        <v>381</v>
      </c>
    </row>
    <row r="13" spans="1:2" x14ac:dyDescent="0.25">
      <c r="A13" s="24" t="s">
        <v>367</v>
      </c>
      <c r="B13" s="24" t="s">
        <v>368</v>
      </c>
    </row>
    <row r="14" spans="1:2" x14ac:dyDescent="0.25">
      <c r="A14" t="s">
        <v>382</v>
      </c>
      <c r="B14" t="s">
        <v>383</v>
      </c>
    </row>
    <row r="15" spans="1:2" x14ac:dyDescent="0.25">
      <c r="A15" t="s">
        <v>384</v>
      </c>
      <c r="B15" t="s">
        <v>385</v>
      </c>
    </row>
    <row r="16" spans="1:2" x14ac:dyDescent="0.25">
      <c r="A16" t="s">
        <v>386</v>
      </c>
      <c r="B16" t="s">
        <v>387</v>
      </c>
    </row>
    <row r="17" spans="1:5" x14ac:dyDescent="0.25">
      <c r="A17" t="s">
        <v>388</v>
      </c>
      <c r="B17" t="s">
        <v>389</v>
      </c>
    </row>
    <row r="18" spans="1:5" x14ac:dyDescent="0.25">
      <c r="A18" t="s">
        <v>390</v>
      </c>
      <c r="B18" t="s">
        <v>391</v>
      </c>
    </row>
    <row r="20" spans="1:5" ht="15.75" customHeight="1" x14ac:dyDescent="0.25">
      <c r="A20" s="7" t="s">
        <v>392</v>
      </c>
    </row>
    <row r="21" spans="1:5" x14ac:dyDescent="0.25">
      <c r="A21" s="15" t="s">
        <v>393</v>
      </c>
      <c r="B21" s="15" t="s">
        <v>394</v>
      </c>
      <c r="D21" s="19" t="s">
        <v>395</v>
      </c>
      <c r="E21" s="19" t="s">
        <v>394</v>
      </c>
    </row>
    <row r="22" spans="1:5" x14ac:dyDescent="0.25">
      <c r="A22" t="s">
        <v>78</v>
      </c>
      <c r="B22">
        <v>6</v>
      </c>
      <c r="D22" t="s">
        <v>396</v>
      </c>
      <c r="E22">
        <v>5</v>
      </c>
    </row>
    <row r="23" spans="1:5" x14ac:dyDescent="0.25">
      <c r="A23" t="s">
        <v>397</v>
      </c>
      <c r="B23">
        <v>5</v>
      </c>
      <c r="D23" t="s">
        <v>398</v>
      </c>
      <c r="E23">
        <v>20</v>
      </c>
    </row>
    <row r="24" spans="1:5" x14ac:dyDescent="0.25">
      <c r="A24" t="s">
        <v>399</v>
      </c>
      <c r="B24">
        <v>15</v>
      </c>
      <c r="D24" t="s">
        <v>18</v>
      </c>
      <c r="E24">
        <v>10</v>
      </c>
    </row>
    <row r="26" spans="1:5" x14ac:dyDescent="0.25">
      <c r="A26" s="6" t="s">
        <v>400</v>
      </c>
      <c r="B26" s="6">
        <f>B24+(B22*2)</f>
        <v>27</v>
      </c>
      <c r="D26" s="6" t="s">
        <v>401</v>
      </c>
      <c r="E26" s="6">
        <f>E24+(E22*5)</f>
        <v>35</v>
      </c>
    </row>
    <row r="28" spans="1:5" x14ac:dyDescent="0.25">
      <c r="A28" s="6" t="s">
        <v>402</v>
      </c>
      <c r="B28" s="26">
        <f>ROUND(B26*(100-E23)/100,1)</f>
        <v>21.6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4"/>
  <sheetViews>
    <sheetView workbookViewId="0"/>
  </sheetViews>
  <sheetFormatPr defaultRowHeight="15" x14ac:dyDescent="0.25"/>
  <sheetData>
    <row r="1" spans="1:15" x14ac:dyDescent="0.25">
      <c r="A1" t="s">
        <v>403</v>
      </c>
      <c r="B1" t="s">
        <v>7</v>
      </c>
      <c r="C1" t="s">
        <v>53</v>
      </c>
      <c r="D1" t="s">
        <v>404</v>
      </c>
      <c r="E1" t="s">
        <v>405</v>
      </c>
      <c r="F1" t="s">
        <v>406</v>
      </c>
      <c r="G1" t="s">
        <v>407</v>
      </c>
      <c r="H1" t="s">
        <v>408</v>
      </c>
      <c r="I1" t="s">
        <v>409</v>
      </c>
      <c r="J1" t="s">
        <v>410</v>
      </c>
      <c r="K1" t="s">
        <v>411</v>
      </c>
      <c r="L1" t="s">
        <v>412</v>
      </c>
      <c r="M1" t="s">
        <v>413</v>
      </c>
      <c r="N1" t="s">
        <v>414</v>
      </c>
      <c r="O1" t="s">
        <v>44</v>
      </c>
    </row>
    <row r="2" spans="1:15" x14ac:dyDescent="0.25">
      <c r="A2" t="s">
        <v>415</v>
      </c>
      <c r="B2" t="s">
        <v>416</v>
      </c>
      <c r="C2" t="s">
        <v>417</v>
      </c>
      <c r="D2">
        <v>4</v>
      </c>
      <c r="E2" t="s">
        <v>418</v>
      </c>
      <c r="F2">
        <v>1.2</v>
      </c>
      <c r="G2">
        <v>1.5</v>
      </c>
      <c r="H2">
        <v>0.15</v>
      </c>
      <c r="I2">
        <v>0.1</v>
      </c>
      <c r="J2" t="s">
        <v>419</v>
      </c>
      <c r="L2" t="s">
        <v>420</v>
      </c>
      <c r="M2" t="s">
        <v>421</v>
      </c>
      <c r="O2" t="s">
        <v>86</v>
      </c>
    </row>
    <row r="3" spans="1:15" x14ac:dyDescent="0.25">
      <c r="A3" t="s">
        <v>422</v>
      </c>
      <c r="B3" t="s">
        <v>423</v>
      </c>
      <c r="C3" t="s">
        <v>424</v>
      </c>
      <c r="D3">
        <v>8</v>
      </c>
      <c r="E3" t="s">
        <v>425</v>
      </c>
      <c r="F3">
        <v>1.5</v>
      </c>
      <c r="G3">
        <v>1.2</v>
      </c>
      <c r="H3">
        <v>0.2</v>
      </c>
      <c r="I3">
        <v>0.15</v>
      </c>
      <c r="J3" t="s">
        <v>419</v>
      </c>
      <c r="L3" t="s">
        <v>426</v>
      </c>
      <c r="M3" t="s">
        <v>427</v>
      </c>
      <c r="O3" t="s">
        <v>86</v>
      </c>
    </row>
    <row r="4" spans="1:15" x14ac:dyDescent="0.25">
      <c r="A4" t="s">
        <v>428</v>
      </c>
      <c r="B4" t="s">
        <v>429</v>
      </c>
      <c r="C4" t="s">
        <v>430</v>
      </c>
      <c r="D4">
        <v>6</v>
      </c>
      <c r="E4" t="s">
        <v>425</v>
      </c>
      <c r="F4">
        <v>1.4</v>
      </c>
      <c r="G4">
        <v>1.25</v>
      </c>
      <c r="H4">
        <v>0.18</v>
      </c>
      <c r="I4">
        <v>0.12</v>
      </c>
      <c r="J4" t="s">
        <v>419</v>
      </c>
      <c r="L4" t="s">
        <v>431</v>
      </c>
      <c r="M4" t="s">
        <v>427</v>
      </c>
      <c r="O4" t="s">
        <v>86</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heetViews>
  <sheetFormatPr defaultRowHeight="15" x14ac:dyDescent="0.25"/>
  <sheetData>
    <row r="1" spans="1:6" x14ac:dyDescent="0.25">
      <c r="A1" t="s">
        <v>432</v>
      </c>
      <c r="B1" t="s">
        <v>433</v>
      </c>
      <c r="C1" t="s">
        <v>434</v>
      </c>
      <c r="D1" t="s">
        <v>435</v>
      </c>
      <c r="E1" t="s">
        <v>436</v>
      </c>
      <c r="F1" t="s">
        <v>44</v>
      </c>
    </row>
    <row r="2" spans="1:6" x14ac:dyDescent="0.25">
      <c r="A2" t="s">
        <v>91</v>
      </c>
      <c r="B2" t="s">
        <v>437</v>
      </c>
      <c r="C2" t="s">
        <v>438</v>
      </c>
      <c r="D2" t="s">
        <v>439</v>
      </c>
      <c r="E2">
        <v>4.5</v>
      </c>
      <c r="F2" t="s">
        <v>86</v>
      </c>
    </row>
    <row r="3" spans="1:6" x14ac:dyDescent="0.25">
      <c r="A3" t="s">
        <v>440</v>
      </c>
      <c r="B3" t="s">
        <v>441</v>
      </c>
      <c r="C3" t="s">
        <v>438</v>
      </c>
      <c r="D3" t="s">
        <v>439</v>
      </c>
      <c r="E3">
        <v>4.5</v>
      </c>
      <c r="F3" t="s">
        <v>86</v>
      </c>
    </row>
    <row r="4" spans="1:6" x14ac:dyDescent="0.25">
      <c r="A4" t="s">
        <v>442</v>
      </c>
      <c r="B4" t="s">
        <v>441</v>
      </c>
      <c r="C4" t="s">
        <v>438</v>
      </c>
      <c r="D4" t="s">
        <v>439</v>
      </c>
      <c r="E4">
        <v>4</v>
      </c>
      <c r="F4" t="s">
        <v>86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
  <sheetViews>
    <sheetView workbookViewId="0"/>
  </sheetViews>
  <sheetFormatPr defaultRowHeight="15" x14ac:dyDescent="0.25"/>
  <sheetData>
    <row r="1" spans="1:4" x14ac:dyDescent="0.25">
      <c r="A1" t="s">
        <v>443</v>
      </c>
      <c r="B1" t="s">
        <v>444</v>
      </c>
      <c r="C1" t="s">
        <v>53</v>
      </c>
      <c r="D1" t="s">
        <v>44</v>
      </c>
    </row>
    <row r="2" spans="1:4" x14ac:dyDescent="0.25">
      <c r="A2" t="s">
        <v>445</v>
      </c>
      <c r="B2" t="s">
        <v>446</v>
      </c>
      <c r="C2" t="s">
        <v>447</v>
      </c>
      <c r="D2" t="s">
        <v>86</v>
      </c>
    </row>
    <row r="3" spans="1:4" x14ac:dyDescent="0.25">
      <c r="A3" t="s">
        <v>448</v>
      </c>
      <c r="B3" t="s">
        <v>449</v>
      </c>
      <c r="C3" t="s">
        <v>450</v>
      </c>
      <c r="D3" t="s">
        <v>86</v>
      </c>
    </row>
    <row r="4" spans="1:4" x14ac:dyDescent="0.25">
      <c r="A4" t="s">
        <v>451</v>
      </c>
      <c r="B4" t="s">
        <v>452</v>
      </c>
      <c r="C4" t="s">
        <v>453</v>
      </c>
      <c r="D4" t="s">
        <v>86</v>
      </c>
    </row>
    <row r="5" spans="1:4" x14ac:dyDescent="0.25">
      <c r="A5" t="s">
        <v>454</v>
      </c>
      <c r="B5" t="s">
        <v>455</v>
      </c>
      <c r="C5" t="s">
        <v>456</v>
      </c>
      <c r="D5" t="s">
        <v>86</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T5"/>
  <sheetViews>
    <sheetView workbookViewId="0"/>
  </sheetViews>
  <sheetFormatPr defaultRowHeight="15" x14ac:dyDescent="0.25"/>
  <sheetData>
    <row r="1" spans="1:20" x14ac:dyDescent="0.25">
      <c r="A1" t="s">
        <v>457</v>
      </c>
      <c r="B1" t="s">
        <v>7</v>
      </c>
      <c r="C1" t="s">
        <v>56</v>
      </c>
      <c r="D1" t="s">
        <v>458</v>
      </c>
      <c r="E1" t="s">
        <v>459</v>
      </c>
      <c r="F1" t="s">
        <v>460</v>
      </c>
      <c r="G1" t="s">
        <v>461</v>
      </c>
      <c r="H1" t="s">
        <v>462</v>
      </c>
      <c r="I1" t="s">
        <v>463</v>
      </c>
      <c r="J1" t="s">
        <v>464</v>
      </c>
      <c r="K1" t="s">
        <v>465</v>
      </c>
      <c r="L1" t="s">
        <v>466</v>
      </c>
      <c r="M1" t="s">
        <v>40</v>
      </c>
      <c r="N1" t="s">
        <v>467</v>
      </c>
      <c r="O1" t="s">
        <v>468</v>
      </c>
      <c r="P1" t="s">
        <v>49</v>
      </c>
      <c r="Q1" t="s">
        <v>469</v>
      </c>
      <c r="R1" t="s">
        <v>470</v>
      </c>
      <c r="S1" t="s">
        <v>44</v>
      </c>
      <c r="T1" t="s">
        <v>471</v>
      </c>
    </row>
    <row r="2" spans="1:20" x14ac:dyDescent="0.25">
      <c r="A2" t="s">
        <v>472</v>
      </c>
      <c r="B2" t="s">
        <v>473</v>
      </c>
      <c r="C2" t="s">
        <v>445</v>
      </c>
      <c r="D2" t="s">
        <v>474</v>
      </c>
      <c r="E2" t="s">
        <v>475</v>
      </c>
      <c r="G2" t="s">
        <v>476</v>
      </c>
      <c r="H2" t="s">
        <v>477</v>
      </c>
      <c r="I2" t="s">
        <v>478</v>
      </c>
      <c r="J2" t="s">
        <v>479</v>
      </c>
      <c r="K2" t="s">
        <v>479</v>
      </c>
      <c r="M2" t="s">
        <v>480</v>
      </c>
      <c r="S2" t="s">
        <v>86</v>
      </c>
    </row>
    <row r="3" spans="1:20" x14ac:dyDescent="0.25">
      <c r="A3" t="s">
        <v>481</v>
      </c>
      <c r="B3" t="s">
        <v>482</v>
      </c>
      <c r="C3" t="s">
        <v>448</v>
      </c>
      <c r="D3" t="s">
        <v>483</v>
      </c>
      <c r="E3" t="s">
        <v>484</v>
      </c>
      <c r="G3" t="s">
        <v>485</v>
      </c>
      <c r="H3" t="s">
        <v>486</v>
      </c>
      <c r="I3" t="s">
        <v>487</v>
      </c>
      <c r="L3" t="s">
        <v>488</v>
      </c>
      <c r="M3" t="s">
        <v>489</v>
      </c>
      <c r="O3" t="s">
        <v>490</v>
      </c>
      <c r="S3" t="s">
        <v>86</v>
      </c>
    </row>
    <row r="4" spans="1:20" x14ac:dyDescent="0.25">
      <c r="A4" t="s">
        <v>491</v>
      </c>
      <c r="B4" t="s">
        <v>492</v>
      </c>
      <c r="C4" t="s">
        <v>454</v>
      </c>
      <c r="D4" t="s">
        <v>493</v>
      </c>
      <c r="E4" t="s">
        <v>493</v>
      </c>
      <c r="G4">
        <v>120</v>
      </c>
      <c r="H4">
        <v>15</v>
      </c>
      <c r="I4" t="s">
        <v>478</v>
      </c>
      <c r="J4">
        <v>1</v>
      </c>
      <c r="K4">
        <v>0.8</v>
      </c>
      <c r="M4">
        <v>35</v>
      </c>
      <c r="Q4" t="s">
        <v>491</v>
      </c>
      <c r="S4" t="s">
        <v>86</v>
      </c>
      <c r="T4" t="s">
        <v>494</v>
      </c>
    </row>
    <row r="5" spans="1:20" x14ac:dyDescent="0.25">
      <c r="A5" t="s">
        <v>495</v>
      </c>
      <c r="B5" t="s">
        <v>496</v>
      </c>
      <c r="C5" t="s">
        <v>454</v>
      </c>
      <c r="D5" t="s">
        <v>497</v>
      </c>
      <c r="E5" t="s">
        <v>497</v>
      </c>
      <c r="G5">
        <v>400</v>
      </c>
      <c r="H5">
        <v>90</v>
      </c>
      <c r="I5" t="s">
        <v>478</v>
      </c>
      <c r="J5">
        <v>8</v>
      </c>
      <c r="K5">
        <v>6</v>
      </c>
      <c r="M5">
        <v>35</v>
      </c>
      <c r="Q5" t="s">
        <v>491</v>
      </c>
      <c r="S5" t="s">
        <v>86</v>
      </c>
      <c r="T5" t="s">
        <v>498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Unit Import Schema</vt:lpstr>
      <vt:lpstr>Development</vt:lpstr>
      <vt:lpstr>Unit Stats</vt:lpstr>
      <vt:lpstr>Units</vt:lpstr>
      <vt:lpstr>Lore</vt:lpstr>
      <vt:lpstr>Items</vt:lpstr>
      <vt:lpstr>Doodads</vt:lpstr>
      <vt:lpstr>Factions</vt:lpstr>
      <vt:lpstr>Biomes</vt:lpstr>
      <vt:lpstr>Combat</vt:lpstr>
      <vt:lpstr>Weapons</vt:lpstr>
      <vt:lpstr>Animation Profiles</vt:lpstr>
      <vt:lpstr>Building Categories</vt:lpstr>
      <vt:lpstr>Buildings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Dewyer</dc:creator>
  <cp:lastModifiedBy>Matthew Dewyer</cp:lastModifiedBy>
  <dcterms:created xsi:type="dcterms:W3CDTF">2026-06-15T15:32:06Z</dcterms:created>
  <dcterms:modified xsi:type="dcterms:W3CDTF">2026-07-14T20:02:50Z</dcterms:modified>
</cp:coreProperties>
</file>